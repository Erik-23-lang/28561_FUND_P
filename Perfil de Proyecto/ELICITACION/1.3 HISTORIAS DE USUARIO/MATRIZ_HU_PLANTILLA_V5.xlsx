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https://d.docs.live.net/2a1cc7a8d947f034/Documentos/"/>
    </mc:Choice>
  </mc:AlternateContent>
  <xr:revisionPtr revIDLastSave="0" documentId="8_{F7F2D117-26CB-4B43-9FEC-28612F0E4E61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Formato descripción HU" sheetId="1" r:id="rId1"/>
    <sheet name="Historia de Usuario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<sst xmlns="http://schemas.openxmlformats.org/spreadsheetml/2006/main" count="81" uniqueCount="60">
  <si>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</si>
  <si>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</si>
  <si>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</si>
  <si>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</si>
  <si>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</si>
  <si>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</si>
  <si>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</si>
  <si>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</si>
  <si>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</si>
  <si>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</si>
  <si>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</si>
  <si>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</si>
  <si>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</si>
  <si>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</si>
  <si>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</si>
  <si>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</si>
  <si>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</si>
  <si>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</si>
  <si>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</si>
  <si>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</si>
  <si>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</si>
  <si>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</si>
  <si>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</si>
  <si>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</si>
  <si>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</si>
  <si>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</si>
  <si>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</si>
  <si>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</si>
  <si>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</si>
  <si>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</si>
  <si>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</si>
  <si>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</si>
  <si>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</si>
  <si>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Erik Peña</t>
  </si>
  <si>
    <t>Recordatorio de última ubicación de la llave</t>
  </si>
  <si>
    <t>REQ002</t>
  </si>
  <si>
    <t>Dificultad para la localización de la llave física del departamento o local cuando esta se encuentra fuera del campo visual del usuario</t>
  </si>
  <si>
    <t>Para que el usuario pueda encontrar la llave física.</t>
  </si>
  <si>
    <t>Francisco Freire</t>
  </si>
  <si>
    <t>Activacion de Alarma</t>
  </si>
  <si>
    <t>REQ003</t>
  </si>
  <si>
    <t>El programa deberá activar una alarma sonora para localizar la llave física</t>
  </si>
  <si>
    <t>REQ004</t>
  </si>
  <si>
    <t>Menu Principal.</t>
  </si>
  <si>
    <t>El Programa debera permitir al usuario guardar un registro de la ultima fecha que uso el programa.</t>
  </si>
  <si>
    <t>Para que el usuario lleveun registro de las veces que se ejecuta el programa.</t>
  </si>
  <si>
    <t>Registro de Busqueda</t>
  </si>
  <si>
    <t>El programa deberá permitir al usuario observar un menú de tres alternativas.</t>
  </si>
  <si>
    <t>El programa deberá permitir que se haga un recordatorio de dónde fue la última vez que se vio la llave física</t>
  </si>
  <si>
    <t>Ejecución del código en el IDE Code::Blocks, verificando el funcionamiento correcto en consola de las opciones presentadas.</t>
  </si>
  <si>
    <t>Para que el usuario tenga un punto de referencia al buscar la llave.</t>
  </si>
  <si>
    <t>Ejecución del código en el IDE Code::Blocks, verificando el funcionamiento de la consulta de la última ubicación.</t>
  </si>
  <si>
    <t>1.-Programar en C las funciones de manejo de archivos (fopen, fprintf y fclose) para permitir la apertura y escritura de datos de forma permanente en la computadora.
2.-Diseñar la estructura del registro dentro del código para que guarde automáticamente la fecha actual y la ubicación seleccionada por el usuario (por ejemplo: "19/06/2026 - Está en la sala").</t>
  </si>
  <si>
    <t>Para que el usuario seleccione la opción que va a usar en el  momento oportuno.</t>
  </si>
  <si>
    <t xml:space="preserve">1. Desarrollar el programa para realizar preguntas al usuario sobre la última vez que utilizó o vio las llaves.
2. Generación de sugerencias con base en las respuestas del usuario para ayudar en la búsqueda.
</t>
  </si>
  <si>
    <t>1.-Desarrollar las opciones con las que el usuario se familiarizará según lo que desea hacer.
2.-Presentar en consola el menú de opciones que el usuario usará para encontrar las llaves.</t>
  </si>
  <si>
    <t>1.-Desarrollar el programa para activar la alarma mediante una señal o botón.
2.-Emisión de sonido por el Arduino de woki para indicar la ubicación de la llave.</t>
  </si>
  <si>
    <t>Ejecutar el programa en el IDE Code::Blocks desde la PC y usar el Arduino wokwi para activar la alarma, y comprobar que el zumbador suene en pantalla.</t>
  </si>
  <si>
    <t>Ejecutar el código en IDE Code::Blocks y ver que el archivo con las preguntas guardadas aparezca en su carpeta correspondiente.</t>
  </si>
  <si>
    <t>Tatiana Jama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</si>
</sst>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30" xfId="0" applyFont="1" applyBorder="1" applyAlignment="1">
      <alignment horizontal="center" vertical="center"/>
    </xf>
    <xf numFmtId="0" fontId="0" fillId="0" borderId="7" xfId="0" applyBorder="1"/>
    <xf numFmtId="0" fontId="14" fillId="0" borderId="0" xfId="0" applyFont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D5" zoomScale="87" zoomScaleNormal="115" workbookViewId="0">
      <selection activeCell="F5" sqref="F5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19921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52" t="s">
        <v>0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5" t="s">
        <v>36</v>
      </c>
      <c r="D6" s="30" t="s">
        <v>47</v>
      </c>
      <c r="E6" s="30" t="s">
        <v>53</v>
      </c>
      <c r="F6" s="30" t="s">
        <v>59</v>
      </c>
      <c r="G6" s="30" t="s">
        <v>55</v>
      </c>
      <c r="H6" s="37" t="s">
        <v>38</v>
      </c>
      <c r="I6" s="30">
        <v>2</v>
      </c>
      <c r="J6" s="31">
        <v>46171</v>
      </c>
      <c r="K6" s="38" t="s">
        <v>19</v>
      </c>
      <c r="L6" s="39" t="s">
        <v>17</v>
      </c>
      <c r="M6" s="50" t="s">
        <v>49</v>
      </c>
      <c r="N6" s="30" t="s">
        <v>18</v>
      </c>
      <c r="O6" s="30" t="s">
        <v>43</v>
      </c>
    </row>
    <row r="7" spans="1:26" ht="103.5" customHeight="1" x14ac:dyDescent="0.25">
      <c r="B7" s="32" t="s">
        <v>35</v>
      </c>
      <c r="C7" s="35" t="s">
        <v>36</v>
      </c>
      <c r="D7" s="50" t="s">
        <v>48</v>
      </c>
      <c r="E7" s="50" t="s">
        <v>50</v>
      </c>
      <c r="F7" s="30" t="s">
        <v>59</v>
      </c>
      <c r="G7" s="37" t="s">
        <v>54</v>
      </c>
      <c r="H7" s="37" t="s">
        <v>33</v>
      </c>
      <c r="I7" s="30">
        <v>4</v>
      </c>
      <c r="J7" s="31">
        <v>46171</v>
      </c>
      <c r="K7" s="38" t="s">
        <v>19</v>
      </c>
      <c r="L7" s="30" t="s">
        <v>17</v>
      </c>
      <c r="M7" s="51" t="s">
        <v>51</v>
      </c>
      <c r="N7" s="30"/>
      <c r="O7" s="30" t="s">
        <v>34</v>
      </c>
    </row>
    <row r="8" spans="1:26" ht="99.75" customHeight="1" x14ac:dyDescent="0.25">
      <c r="A8" s="7"/>
      <c r="B8" s="34" t="s">
        <v>40</v>
      </c>
      <c r="C8" s="35" t="s">
        <v>36</v>
      </c>
      <c r="D8" s="30" t="s">
        <v>41</v>
      </c>
      <c r="E8" s="30" t="s">
        <v>37</v>
      </c>
      <c r="F8" s="39" t="s">
        <v>59</v>
      </c>
      <c r="G8" s="30" t="s">
        <v>56</v>
      </c>
      <c r="H8" s="30" t="s">
        <v>38</v>
      </c>
      <c r="I8" s="30">
        <v>4</v>
      </c>
      <c r="J8" s="45">
        <v>46171</v>
      </c>
      <c r="K8" s="30" t="s">
        <v>19</v>
      </c>
      <c r="L8" s="30" t="s">
        <v>21</v>
      </c>
      <c r="M8" s="30" t="s">
        <v>57</v>
      </c>
      <c r="N8" s="35"/>
      <c r="O8" s="30" t="s">
        <v>39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32" t="s">
        <v>42</v>
      </c>
      <c r="C9" s="35" t="s">
        <v>36</v>
      </c>
      <c r="D9" s="33" t="s">
        <v>44</v>
      </c>
      <c r="E9" s="33" t="s">
        <v>45</v>
      </c>
      <c r="F9" s="33" t="s">
        <v>59</v>
      </c>
      <c r="G9" s="30" t="s">
        <v>52</v>
      </c>
      <c r="H9" s="33" t="s">
        <v>33</v>
      </c>
      <c r="I9" s="33">
        <v>6</v>
      </c>
      <c r="J9" s="46">
        <v>46192</v>
      </c>
      <c r="K9" s="30" t="s">
        <v>19</v>
      </c>
      <c r="L9" s="30" t="s">
        <v>17</v>
      </c>
      <c r="M9" s="33" t="s">
        <v>58</v>
      </c>
      <c r="N9" s="35"/>
      <c r="O9" s="33" t="s">
        <v>46</v>
      </c>
    </row>
    <row r="10" spans="1:26" ht="78" customHeight="1" x14ac:dyDescent="0.25">
      <c r="B10" s="32"/>
      <c r="C10" s="35"/>
      <c r="D10" s="35"/>
      <c r="E10" s="35"/>
      <c r="F10" s="40"/>
      <c r="G10" s="35"/>
      <c r="H10" s="35"/>
      <c r="I10" s="35"/>
      <c r="J10" s="44"/>
      <c r="K10" s="30"/>
      <c r="L10" s="30"/>
      <c r="M10" s="35"/>
      <c r="N10" s="35"/>
      <c r="O10" s="35"/>
    </row>
    <row r="11" spans="1:26" ht="66" customHeight="1" x14ac:dyDescent="0.25">
      <c r="B11" s="32"/>
      <c r="C11" s="35"/>
      <c r="D11" s="35"/>
      <c r="E11" s="35"/>
      <c r="F11" s="36"/>
      <c r="G11" s="35"/>
      <c r="H11" s="35"/>
      <c r="I11" s="35"/>
      <c r="J11" s="46"/>
      <c r="K11" s="30"/>
      <c r="L11" s="35"/>
      <c r="M11" s="35"/>
      <c r="N11" s="35"/>
      <c r="O11" s="35"/>
      <c r="P11" s="47"/>
    </row>
    <row r="12" spans="1:26" ht="99.75" customHeight="1" x14ac:dyDescent="0.25">
      <c r="B12" s="48"/>
      <c r="C12" s="39"/>
      <c r="D12" s="39"/>
      <c r="E12" s="39"/>
      <c r="F12" s="39"/>
      <c r="G12" s="39"/>
      <c r="H12" s="39"/>
      <c r="I12" s="39"/>
      <c r="J12" s="43"/>
      <c r="K12" s="30"/>
      <c r="L12" s="39"/>
      <c r="M12" s="39"/>
      <c r="N12" s="39"/>
      <c r="O12" s="39"/>
    </row>
    <row r="13" spans="1:26" ht="72" customHeight="1" x14ac:dyDescent="0.25">
      <c r="B13" s="49"/>
    </row>
    <row r="14" spans="1:26" ht="65.25" customHeight="1" x14ac:dyDescent="0.25">
      <c r="I14" s="1"/>
      <c r="J14" s="1"/>
      <c r="K14" s="9"/>
      <c r="L14" s="3"/>
    </row>
    <row r="15" spans="1:26" ht="64.5" customHeight="1" x14ac:dyDescent="0.25">
      <c r="I15" s="1"/>
      <c r="J15" s="1"/>
      <c r="K15" s="9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39.75" customHeight="1" x14ac:dyDescent="0.3">
      <c r="I18" s="1"/>
      <c r="J18" s="1"/>
      <c r="K18" s="2"/>
      <c r="L18" s="3"/>
    </row>
    <row r="19" spans="9:13" ht="19.5" customHeight="1" x14ac:dyDescent="0.3">
      <c r="I19" s="1"/>
      <c r="J19" s="1"/>
      <c r="K19" s="41" t="s">
        <v>19</v>
      </c>
      <c r="L19" s="42" t="s">
        <v>20</v>
      </c>
      <c r="M19" s="4"/>
    </row>
    <row r="20" spans="9:13" ht="19.5" customHeight="1" x14ac:dyDescent="0.3">
      <c r="I20" s="1"/>
      <c r="J20" s="1"/>
      <c r="K20" s="41" t="s">
        <v>16</v>
      </c>
      <c r="L20" s="42" t="s">
        <v>21</v>
      </c>
      <c r="M20" s="4"/>
    </row>
    <row r="21" spans="9:13" ht="19.5" customHeight="1" x14ac:dyDescent="0.3">
      <c r="I21" s="1"/>
      <c r="J21" s="1"/>
      <c r="K21" s="41" t="s">
        <v>22</v>
      </c>
      <c r="L21" s="42" t="s">
        <v>17</v>
      </c>
      <c r="M21" s="4"/>
    </row>
    <row r="22" spans="9:13" ht="19.5" customHeight="1" x14ac:dyDescent="0.3">
      <c r="I22" s="1"/>
      <c r="J22" s="1"/>
      <c r="K22" s="41"/>
      <c r="L22" s="42" t="s">
        <v>23</v>
      </c>
      <c r="M22" s="4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>
      <c r="I990" s="3"/>
      <c r="J990" s="3"/>
      <c r="K990" s="8"/>
      <c r="L990" s="3"/>
    </row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96" zoomScaleNormal="85" workbookViewId="0">
      <selection activeCell="C10" sqref="C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73" t="s">
        <v>24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5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76" t="s">
        <v>25</v>
      </c>
      <c r="F9" s="75"/>
      <c r="G9" s="13"/>
      <c r="H9" s="76" t="s">
        <v>11</v>
      </c>
      <c r="I9" s="75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42</v>
      </c>
      <c r="D10" s="16"/>
      <c r="E10" s="77" t="str">
        <f>VLOOKUP(C10,'Formato descripción HU'!B6:O15,5,0)</f>
        <v>Tatiana Jama</v>
      </c>
      <c r="F10" s="75"/>
      <c r="G10" s="17"/>
      <c r="H10" s="77" t="str">
        <f>VLOOKUP(C10,'Formato descripción HU'!B6:O15,11,0)</f>
        <v>Terminado</v>
      </c>
      <c r="I10" s="75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76" t="s">
        <v>10</v>
      </c>
      <c r="F12" s="75"/>
      <c r="G12" s="17"/>
      <c r="H12" s="76" t="s">
        <v>27</v>
      </c>
      <c r="I12" s="75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HU'!B6:O15,8,0)</f>
        <v>6</v>
      </c>
      <c r="D13" s="16"/>
      <c r="E13" s="77" t="str">
        <f>VLOOKUP(C10,'Formato descripción HU'!B6:O15,10,0)</f>
        <v>Alta</v>
      </c>
      <c r="F13" s="75"/>
      <c r="G13" s="17"/>
      <c r="H13" s="77" t="str">
        <f>VLOOKUP(C10,'Formato descripción HU'!B6:O15,7,0)</f>
        <v>Erik Peña</v>
      </c>
      <c r="I13" s="75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54" t="s">
        <v>28</v>
      </c>
      <c r="D15" s="64" t="str">
        <f>VLOOKUP(C10,'Formato descripción HU'!B6:O15,3,0)</f>
        <v>El Programa debera permitir al usuario guardar un registro de la ultima fecha que uso el programa.</v>
      </c>
      <c r="E15" s="58"/>
      <c r="F15" s="14"/>
      <c r="G15" s="54" t="s">
        <v>29</v>
      </c>
      <c r="H15" s="64" t="str">
        <f>VLOOKUP(C10,'Formato descripción HU'!B6:O15,4,0)</f>
        <v>Para que el usuario lleveun registro de las veces que se ejecuta el programa.</v>
      </c>
      <c r="I15" s="79"/>
      <c r="J15" s="58"/>
      <c r="K15" s="14"/>
      <c r="L15" s="54" t="s">
        <v>30</v>
      </c>
      <c r="M15" s="64" t="str">
        <f>VLOOKUP(C10,'Formato descripción HU'!B6:O15,6,0)</f>
        <v>1.-Programar en C las funciones de manejo de archivos (fopen, fprintf y fclose) para permitir la apertura y escritura de datos de forma permanente en la computadora.
2.-Diseñar la estructura del registro dentro del código para que guarde automáticamente la fecha actual y la ubicación seleccionada por el usuario (por ejemplo: "19/06/2026 - Está en la sala").</v>
      </c>
      <c r="N15" s="65"/>
      <c r="O15" s="66"/>
      <c r="P15" s="29"/>
    </row>
    <row r="16" spans="2:16" ht="19.5" customHeight="1" x14ac:dyDescent="0.25">
      <c r="B16" s="28"/>
      <c r="C16" s="55"/>
      <c r="D16" s="62"/>
      <c r="E16" s="63"/>
      <c r="F16" s="14"/>
      <c r="G16" s="55"/>
      <c r="H16" s="62"/>
      <c r="I16" s="80"/>
      <c r="J16" s="63"/>
      <c r="K16" s="14"/>
      <c r="L16" s="55"/>
      <c r="M16" s="67"/>
      <c r="N16" s="68"/>
      <c r="O16" s="69"/>
      <c r="P16" s="29"/>
    </row>
    <row r="17" spans="2:16" ht="19.5" customHeight="1" x14ac:dyDescent="0.25">
      <c r="B17" s="28"/>
      <c r="C17" s="56"/>
      <c r="D17" s="59"/>
      <c r="E17" s="60"/>
      <c r="F17" s="14"/>
      <c r="G17" s="56"/>
      <c r="H17" s="59"/>
      <c r="I17" s="81"/>
      <c r="J17" s="60"/>
      <c r="K17" s="14"/>
      <c r="L17" s="56"/>
      <c r="M17" s="70"/>
      <c r="N17" s="71"/>
      <c r="O17" s="72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57" t="s">
        <v>31</v>
      </c>
      <c r="D19" s="58"/>
      <c r="E19" s="82" t="str">
        <f>VLOOKUP(C10,'Formato descripción HU'!B6:O15,14,0)</f>
        <v>Registro de Busqueda</v>
      </c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29"/>
    </row>
    <row r="20" spans="2:16" ht="19.5" customHeight="1" x14ac:dyDescent="0.25">
      <c r="B20" s="28"/>
      <c r="C20" s="59"/>
      <c r="D20" s="60"/>
      <c r="E20" s="85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61" t="s">
        <v>32</v>
      </c>
      <c r="D22" s="58"/>
      <c r="E22" s="64" t="str">
        <f>VLOOKUP(C10,'Formato descripción HU'!B6:O15,12,0)</f>
        <v>Ejecutar el código en IDE Code::Blocks y ver que el archivo con las preguntas guardadas aparezca en su carpeta correspondiente.</v>
      </c>
      <c r="F22" s="65"/>
      <c r="G22" s="65"/>
      <c r="H22" s="66"/>
      <c r="I22" s="14"/>
      <c r="J22" s="61" t="s">
        <v>13</v>
      </c>
      <c r="K22" s="58"/>
      <c r="L22" s="78">
        <f>VLOOKUP(C10,'Formato descripción HU'!B6:O15,13,0)</f>
        <v>0</v>
      </c>
      <c r="M22" s="79"/>
      <c r="N22" s="79"/>
      <c r="O22" s="58"/>
      <c r="P22" s="29"/>
    </row>
    <row r="23" spans="2:16" ht="19.5" customHeight="1" x14ac:dyDescent="0.25">
      <c r="B23" s="28"/>
      <c r="C23" s="62"/>
      <c r="D23" s="63"/>
      <c r="E23" s="67"/>
      <c r="F23" s="68"/>
      <c r="G23" s="68"/>
      <c r="H23" s="69"/>
      <c r="I23" s="14"/>
      <c r="J23" s="62"/>
      <c r="K23" s="63"/>
      <c r="L23" s="62"/>
      <c r="M23" s="80"/>
      <c r="N23" s="80"/>
      <c r="O23" s="63"/>
      <c r="P23" s="29"/>
    </row>
    <row r="24" spans="2:16" ht="19.5" customHeight="1" x14ac:dyDescent="0.25">
      <c r="B24" s="28"/>
      <c r="C24" s="59"/>
      <c r="D24" s="60"/>
      <c r="E24" s="70"/>
      <c r="F24" s="71"/>
      <c r="G24" s="71"/>
      <c r="H24" s="72"/>
      <c r="I24" s="14"/>
      <c r="J24" s="59"/>
      <c r="K24" s="60"/>
      <c r="L24" s="59"/>
      <c r="M24" s="81"/>
      <c r="N24" s="81"/>
      <c r="O24" s="60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PC</cp:lastModifiedBy>
  <cp:revision/>
  <dcterms:created xsi:type="dcterms:W3CDTF">2019-10-21T15:37:14Z</dcterms:created>
  <dcterms:modified xsi:type="dcterms:W3CDTF">2026-07-07T01:12:38Z</dcterms:modified>
  <cp:category/>
  <cp:contentStatus/>
</cp:coreProperties>
</file>