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PC\Documents\"/>
    </mc:Choice>
  </mc:AlternateContent>
  <xr:revisionPtr revIDLastSave="0" documentId="8_{12A961A3-3C9C-4E13-B88B-58695D89DA42}" xr6:coauthVersionLast="37" xr6:coauthVersionMax="37" xr10:uidLastSave="{00000000-0000-0000-0000-000000000000}"/>
  <bookViews>
    <workbookView xWindow="0" yWindow="0" windowWidth="23040" windowHeight="8940" xr2:uid="{00000000-000D-0000-FFFF-FFFF00000000}"/>
  </bookViews>
  <sheets>
    <sheet name="Formato descripción HU" sheetId="1" r:id="rId1"/>
    <sheet name="Historia de Usuario" sheetId="2" r:id="rId2"/>
  </sheets>
  <calcPr calcId="17902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j/6vPIviJPFrN6TLB5bKIb/0uhzg=="/>
    </ext>
  </extLst>
</workbook>
</file>

<file path=xl/calcChain.xml><?xml version="1.0" encoding="utf-8"?>
<calcChain xmlns="http://schemas.openxmlformats.org/spreadsheetml/2006/main">
  <c r="M15" i="2" l="1"/>
  <c r="L22" i="2"/>
  <c r="E22" i="2"/>
  <c r="E19" i="2"/>
  <c r="H15" i="2"/>
  <c r="D15" i="2"/>
  <c r="H13" i="2"/>
  <c r="E13" i="2"/>
  <c r="C13" i="2"/>
  <c r="H10" i="2"/>
  <c r="E10" i="2"/>
</calcChain>
</file>

<file path=xl/sharedStrings.xml><?xml version="1.0" encoding="utf-8"?>
<sst xmlns="http://schemas.openxmlformats.org/spreadsheetml/2006/main" count="81" uniqueCount="60">
  <si>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</si>
  <si>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</si>
  <si>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</si>
  <si>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</si>
  <si>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</si>
  <si>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</si>
  <si>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</si>
  <si>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</si>
  <si>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</si>
  <si>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</si>
  <si>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</si>
  <si>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</si>
  <si>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</si>
  <si>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</si>
  <si>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</si>
  <si>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</si>
  <si>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 xml:space="preserve">Media </t>
  </si>
  <si>
    <t>Terminado</t>
  </si>
  <si>
    <t>-</t>
  </si>
  <si>
    <t>Alta</t>
  </si>
  <si>
    <t>No iniciado</t>
  </si>
  <si>
    <t>En proceso</t>
  </si>
  <si>
    <t>Baja</t>
  </si>
  <si>
    <t>Atrasado</t>
  </si>
  <si>
    <t>HISTORIA DE USUARIO (HU)</t>
  </si>
  <si>
    <t>USUARIO</t>
  </si>
  <si>
    <t>TIEMPO</t>
  </si>
  <si>
    <t>PROG. RESP</t>
  </si>
  <si>
    <t>QUE</t>
  </si>
  <si>
    <t>PARA QUE</t>
  </si>
  <si>
    <t>COMO</t>
  </si>
  <si>
    <t>NOMBRE HISTORIA</t>
  </si>
  <si>
    <t>PRUEBA</t>
  </si>
  <si>
    <t>1.-Desarrollo del programa para activar la alarma mediante señal o botón.
2.-Emisión de sonido por el arduino para indicar la ubicación de la llave.</t>
  </si>
  <si>
    <t>Odalys Molina</t>
  </si>
  <si>
    <t>Erik Peña</t>
  </si>
  <si>
    <t xml:space="preserve">1. Desarrollo del programa para realizar preguntas al usuario sobre la última vez que utilizó o vio las llaves.
2. Generación de sugerencias en base a las respuestas del usuario para ayudar en la búsqueda.
</t>
  </si>
  <si>
    <t>Recordatorio de última ubicación de la llave</t>
  </si>
  <si>
    <t>REQ002</t>
  </si>
  <si>
    <t>Dificultad para la localización de la llave física del departamento o local cuando esta se encuentra fuera del campo visual del usuario</t>
  </si>
  <si>
    <t>Para que el usuario pueda encontrar la llave física.</t>
  </si>
  <si>
    <t>Francisco Freire</t>
  </si>
  <si>
    <t>Prueba con Arduino conectado a la llave, verificando la emisión de sonido mediante el ordenador y la correcta activación del dispositivo.</t>
  </si>
  <si>
    <t>Activacion de Alarma</t>
  </si>
  <si>
    <t>Para que el usuario, tenga un punto de referencial buscar la llave.</t>
  </si>
  <si>
    <t>Ejecución del código en el IDE CodeBlocks verificando el funcionamiento de la consulta de la última ubicación.</t>
  </si>
  <si>
    <t>REQ003</t>
  </si>
  <si>
    <t>El programa deberá activar una alarma sonora para localizar la llave física</t>
  </si>
  <si>
    <t>El programa debera permitir que haga un recuerdo de donde fue la ultima vez que vio la llave fisica</t>
  </si>
  <si>
    <t>REQ004</t>
  </si>
  <si>
    <t xml:space="preserve">El programa debera permitir al  usuario observar un menu de 3 alternativas </t>
  </si>
  <si>
    <t>Para que el ususario seleccione la opcion que mejor le convenga en ese momento.</t>
  </si>
  <si>
    <t>Ejecución del código en el IDE CodeBlocks verificando el funcionamiento correcto en consola de las opciones presentadas.</t>
  </si>
  <si>
    <t>Menu Principal.</t>
  </si>
  <si>
    <t>El Programa debera permitir al usuario guardar un registro de la ultima fecha que uso el programa.</t>
  </si>
  <si>
    <t>Para que el usuario lleveun registro de las veces que se ejecuta el programa.</t>
  </si>
  <si>
    <t xml:space="preserve">1.-Desarrollo del programa con archivos para el registro.
2.-Generar una base de datos del lugar seleccionado por ultima vez. </t>
  </si>
  <si>
    <t xml:space="preserve">Ejecución del código en el IDE CodeBlocks verificando el funcionamiento del  guardado en archivos de espacio permanente. </t>
  </si>
  <si>
    <t>Registro de Busqueda</t>
  </si>
  <si>
    <t xml:space="preserve">1. Desarrollo de opciones con los que el  usuario se familiarizara según lo que desea hacer.
2. Presentar en consola el menu de las opciones que el usuario usara para encontrar las llaves.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</si>
</sst>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ont>
    <font>
      <sz val="11"/>
      <color theme="1"/>
      <name val="Calibri"/>
    </font>
    <font>
      <b/>
      <i/>
      <sz val="11"/>
      <color rgb="FF9C6500"/>
      <name val="Calibri"/>
    </font>
    <font>
      <b/>
      <i/>
      <sz val="11"/>
      <color rgb="FFFF0000"/>
      <name val="Calibri"/>
    </font>
    <font>
      <sz val="10"/>
      <color theme="1"/>
      <name val="Calibri"/>
    </font>
    <font>
      <sz val="11"/>
      <color rgb="FF000000"/>
      <name val="Arial"/>
    </font>
    <font>
      <b/>
      <sz val="11"/>
      <color theme="1"/>
      <name val="Calibri"/>
    </font>
    <font>
      <b/>
      <sz val="16"/>
      <color theme="1"/>
      <name val="Calibri"/>
    </font>
    <font>
      <sz val="11"/>
      <name val="Arial"/>
    </font>
    <font>
      <b/>
      <sz val="11"/>
      <color theme="0"/>
      <name val="Calibri"/>
    </font>
    <font>
      <b/>
      <sz val="11"/>
      <color rgb="FFFA7D00"/>
      <name val="Calibri"/>
    </font>
    <font>
      <sz val="12"/>
      <color theme="1"/>
      <name val="Calibri"/>
    </font>
    <font>
      <b/>
      <i/>
      <sz val="12"/>
      <color rgb="FF9C6500"/>
      <name val="Calibri"/>
    </font>
    <font>
      <sz val="8"/>
      <name val="Arial"/>
    </font>
    <font>
      <sz val="10"/>
      <color theme="1"/>
      <name val="calibri"/>
      <family val="2"/>
      <scheme val="minor"/>
    </font>
    <font>
      <sz val="10"/>
      <color theme="1"/>
      <name val="Calibri"/>
      <family val="2"/>
    </font>
    <font>
      <b/>
      <i/>
      <u/>
      <sz val="16"/>
      <color theme="1"/>
      <name val="Calibri"/>
      <family val="2"/>
    </font>
    <font>
      <u/>
      <sz val="11"/>
      <color theme="1"/>
      <name val="Arial"/>
      <family val="2"/>
    </font>
    <font>
      <sz val="11"/>
      <color theme="1"/>
      <name val="Arial"/>
      <family val="2"/>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B2B2B2"/>
      </left>
      <right style="thin">
        <color rgb="FFB2B2B2"/>
      </right>
      <top style="thin">
        <color rgb="FFB2B2B2"/>
      </top>
      <bottom/>
      <diagonal/>
    </border>
    <border>
      <left style="thin">
        <color rgb="FF7B7B7B"/>
      </left>
      <right style="thin">
        <color rgb="FF7B7B7B"/>
      </right>
      <top style="thin">
        <color rgb="FF7B7B7B"/>
      </top>
      <bottom style="thin">
        <color rgb="FF7B7B7B"/>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7B7B7B"/>
      </left>
      <right style="thin">
        <color rgb="FF7B7B7B"/>
      </right>
      <top style="thin">
        <color rgb="FF7B7B7B"/>
      </top>
      <bottom/>
      <diagonal/>
    </border>
    <border>
      <left/>
      <right style="thin">
        <color rgb="FF7B7B7B"/>
      </right>
      <top style="thin">
        <color rgb="FF7B7B7B"/>
      </top>
      <bottom/>
      <diagonal/>
    </border>
    <border>
      <left style="thin">
        <color rgb="FF7B7B7B"/>
      </left>
      <right/>
      <top style="thin">
        <color rgb="FF7B7B7B"/>
      </top>
      <bottom style="thin">
        <color rgb="FF7B7B7B"/>
      </bottom>
      <diagonal/>
    </border>
    <border>
      <left/>
      <right style="thin">
        <color rgb="FF7B7B7B"/>
      </right>
      <top style="thin">
        <color rgb="FF7B7B7B"/>
      </top>
      <bottom style="thin">
        <color rgb="FF7B7B7B"/>
      </bottom>
      <diagonal/>
    </border>
    <border>
      <left style="thin">
        <color rgb="FF7B7B7B"/>
      </left>
      <right style="thin">
        <color rgb="FF7B7B7B"/>
      </right>
      <top style="thin">
        <color rgb="FF7B7B7B"/>
      </top>
      <bottom style="thin">
        <color rgb="FF000000"/>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1"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xf>
    <xf numFmtId="0" fontId="5" fillId="0" borderId="0" xfId="0" applyFont="1" applyAlignment="1">
      <alignment horizontal="center"/>
    </xf>
    <xf numFmtId="0" fontId="6" fillId="0" borderId="0" xfId="0" applyFont="1" applyAlignment="1">
      <alignment horizontal="left" vertical="center" wrapText="1"/>
    </xf>
    <xf numFmtId="0" fontId="6" fillId="0" borderId="0" xfId="0" applyFont="1" applyAlignment="1">
      <alignment horizontal="center" vertical="center" wrapText="1"/>
    </xf>
    <xf numFmtId="0" fontId="9" fillId="4" borderId="6" xfId="0" applyFont="1" applyFill="1" applyBorder="1" applyAlignment="1">
      <alignment horizontal="center" vertical="center"/>
    </xf>
    <xf numFmtId="0" fontId="10" fillId="3" borderId="7" xfId="0" applyFont="1" applyFill="1" applyBorder="1" applyAlignment="1">
      <alignment vertical="center"/>
    </xf>
    <xf numFmtId="0" fontId="0" fillId="3" borderId="7" xfId="0" applyFill="1" applyBorder="1"/>
    <xf numFmtId="0" fontId="11" fillId="5" borderId="6" xfId="0" applyFont="1" applyFill="1" applyBorder="1" applyAlignment="1">
      <alignment horizontal="center" vertical="center"/>
    </xf>
    <xf numFmtId="0" fontId="1" fillId="3" borderId="7" xfId="0" applyFont="1" applyFill="1" applyBorder="1" applyAlignment="1">
      <alignment vertical="center" wrapText="1"/>
    </xf>
    <xf numFmtId="0" fontId="1" fillId="3" borderId="7" xfId="0" applyFont="1" applyFill="1" applyBorder="1" applyAlignment="1">
      <alignment vertical="center"/>
    </xf>
    <xf numFmtId="0" fontId="11" fillId="3" borderId="7" xfId="0" applyFont="1" applyFill="1" applyBorder="1" applyAlignment="1">
      <alignment horizontal="center" vertical="center"/>
    </xf>
    <xf numFmtId="0" fontId="1" fillId="3" borderId="7" xfId="0" applyFont="1" applyFill="1" applyBorder="1" applyAlignment="1">
      <alignment horizontal="center" vertical="center"/>
    </xf>
    <xf numFmtId="0" fontId="0" fillId="3" borderId="22" xfId="0" applyFill="1" applyBorder="1"/>
    <xf numFmtId="0" fontId="0" fillId="3" borderId="23" xfId="0" applyFill="1" applyBorder="1"/>
    <xf numFmtId="0" fontId="0" fillId="3" borderId="24" xfId="0" applyFill="1" applyBorder="1"/>
    <xf numFmtId="0" fontId="0" fillId="3" borderId="9" xfId="0" applyFill="1" applyBorder="1"/>
    <xf numFmtId="0" fontId="6" fillId="3" borderId="11" xfId="0" applyFont="1" applyFill="1" applyBorder="1" applyAlignment="1">
      <alignment horizontal="left" vertical="center" wrapText="1"/>
    </xf>
    <xf numFmtId="0" fontId="1" fillId="3" borderId="11" xfId="0" applyFont="1" applyFill="1" applyBorder="1"/>
    <xf numFmtId="0" fontId="0" fillId="3" borderId="11" xfId="0" applyFill="1" applyBorder="1"/>
    <xf numFmtId="0" fontId="0" fillId="3" borderId="10" xfId="0" applyFill="1" applyBorder="1"/>
    <xf numFmtId="0" fontId="0" fillId="3" borderId="13" xfId="0" applyFill="1" applyBorder="1"/>
    <xf numFmtId="0" fontId="0" fillId="3" borderId="14" xfId="0" applyFill="1" applyBorder="1"/>
    <xf numFmtId="0" fontId="4" fillId="0" borderId="2" xfId="0" applyFont="1" applyBorder="1" applyAlignment="1">
      <alignment horizontal="center" vertical="center" wrapText="1"/>
    </xf>
    <xf numFmtId="14" fontId="4" fillId="0" borderId="2" xfId="0" applyNumberFormat="1" applyFont="1" applyBorder="1" applyAlignment="1">
      <alignment horizontal="center" vertical="center" wrapText="1"/>
    </xf>
    <xf numFmtId="0" fontId="4" fillId="0" borderId="26" xfId="0" applyFont="1" applyBorder="1" applyAlignment="1">
      <alignment horizontal="center" vertical="center"/>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14"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1" fillId="0" borderId="25" xfId="0" applyFont="1" applyBorder="1" applyAlignment="1">
      <alignment horizontal="center"/>
    </xf>
    <xf numFmtId="0" fontId="1" fillId="0" borderId="25" xfId="0" applyFont="1" applyBorder="1" applyAlignment="1">
      <alignment horizontal="center" vertical="center"/>
    </xf>
    <xf numFmtId="14" fontId="4" fillId="0" borderId="25" xfId="0" applyNumberFormat="1" applyFont="1" applyBorder="1" applyAlignment="1">
      <alignment horizontal="center" vertical="center" wrapText="1"/>
    </xf>
    <xf numFmtId="14" fontId="15" fillId="0" borderId="25" xfId="0" applyNumberFormat="1" applyFont="1" applyBorder="1" applyAlignment="1">
      <alignment horizontal="center" vertical="center" wrapText="1"/>
    </xf>
    <xf numFmtId="14" fontId="15" fillId="0" borderId="2" xfId="0" applyNumberFormat="1" applyFont="1" applyBorder="1" applyAlignment="1">
      <alignment horizontal="center" vertical="center" wrapText="1"/>
    </xf>
    <xf numFmtId="14" fontId="15" fillId="0" borderId="26" xfId="0" applyNumberFormat="1" applyFont="1" applyBorder="1" applyAlignment="1">
      <alignment horizontal="center" vertical="center" wrapText="1"/>
    </xf>
    <xf numFmtId="0" fontId="18" fillId="0" borderId="0" xfId="0" applyFont="1"/>
    <xf numFmtId="0" fontId="4" fillId="0" borderId="30" xfId="0" applyFont="1" applyBorder="1" applyAlignment="1">
      <alignment horizontal="center" vertical="center"/>
    </xf>
    <xf numFmtId="0" fontId="0" fillId="0" borderId="7" xfId="0" applyBorder="1"/>
    <xf numFmtId="0" fontId="16" fillId="0" borderId="0" xfId="0" applyFont="1" applyAlignment="1">
      <alignment horizontal="center" vertical="center"/>
    </xf>
    <xf numFmtId="0" fontId="17" fillId="0" borderId="0" xfId="0" applyFont="1"/>
    <xf numFmtId="0" fontId="9" fillId="6" borderId="8" xfId="0" applyFont="1" applyFill="1" applyBorder="1" applyAlignment="1">
      <alignment horizontal="center" vertical="center"/>
    </xf>
    <xf numFmtId="0" fontId="8" fillId="0" borderId="12" xfId="0" applyFont="1" applyBorder="1"/>
    <xf numFmtId="0" fontId="8" fillId="0" borderId="15" xfId="0" applyFont="1" applyBorder="1"/>
    <xf numFmtId="0" fontId="12" fillId="7" borderId="9" xfId="0" applyFont="1" applyFill="1" applyBorder="1" applyAlignment="1">
      <alignment horizontal="center" vertical="center"/>
    </xf>
    <xf numFmtId="0" fontId="8" fillId="0" borderId="10" xfId="0" applyFont="1" applyBorder="1"/>
    <xf numFmtId="0" fontId="8" fillId="0" borderId="22" xfId="0" applyFont="1" applyBorder="1"/>
    <xf numFmtId="0" fontId="8" fillId="0" borderId="24" xfId="0" applyFont="1" applyBorder="1"/>
    <xf numFmtId="0" fontId="9" fillId="4" borderId="9" xfId="0" applyFont="1" applyFill="1" applyBorder="1" applyAlignment="1">
      <alignment horizontal="center" vertical="center"/>
    </xf>
    <xf numFmtId="0" fontId="8" fillId="0" borderId="13" xfId="0" applyFont="1" applyBorder="1"/>
    <xf numFmtId="0" fontId="8" fillId="0" borderId="14" xfId="0" applyFont="1" applyBorder="1"/>
    <xf numFmtId="0" fontId="1" fillId="5" borderId="9" xfId="0" applyFont="1" applyFill="1" applyBorder="1" applyAlignment="1">
      <alignment horizontal="center" vertical="center" wrapText="1"/>
    </xf>
    <xf numFmtId="0" fontId="8" fillId="0" borderId="11" xfId="0" applyFont="1" applyBorder="1" applyAlignment="1">
      <alignment wrapText="1"/>
    </xf>
    <xf numFmtId="0" fontId="8" fillId="0" borderId="10" xfId="0" applyFont="1" applyBorder="1" applyAlignment="1">
      <alignment wrapText="1"/>
    </xf>
    <xf numFmtId="0" fontId="8" fillId="0" borderId="13" xfId="0" applyFont="1" applyBorder="1" applyAlignment="1">
      <alignment wrapText="1"/>
    </xf>
    <xf numFmtId="0" fontId="0" fillId="0" borderId="0" xfId="0" applyAlignment="1">
      <alignment wrapText="1"/>
    </xf>
    <xf numFmtId="0" fontId="8" fillId="0" borderId="14" xfId="0" applyFont="1" applyBorder="1" applyAlignment="1">
      <alignment wrapText="1"/>
    </xf>
    <xf numFmtId="0" fontId="8" fillId="0" borderId="22" xfId="0" applyFont="1" applyBorder="1" applyAlignment="1">
      <alignment wrapText="1"/>
    </xf>
    <xf numFmtId="0" fontId="8" fillId="0" borderId="23" xfId="0" applyFont="1" applyBorder="1" applyAlignment="1">
      <alignment wrapText="1"/>
    </xf>
    <xf numFmtId="0" fontId="8" fillId="0" borderId="24" xfId="0" applyFont="1" applyBorder="1" applyAlignment="1">
      <alignment wrapText="1"/>
    </xf>
    <xf numFmtId="0" fontId="7" fillId="3" borderId="3" xfId="0" applyFont="1" applyFill="1" applyBorder="1" applyAlignment="1">
      <alignment horizontal="center" vertical="center" wrapText="1"/>
    </xf>
    <xf numFmtId="0" fontId="8" fillId="0" borderId="4" xfId="0" applyFont="1" applyBorder="1"/>
    <xf numFmtId="0" fontId="8" fillId="0" borderId="5" xfId="0" applyFont="1" applyBorder="1"/>
    <xf numFmtId="0" fontId="9" fillId="4"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9" xfId="0" applyFont="1" applyFill="1" applyBorder="1" applyAlignment="1">
      <alignment horizontal="center" vertical="center"/>
    </xf>
    <xf numFmtId="0" fontId="8" fillId="0" borderId="11" xfId="0" applyFont="1" applyBorder="1"/>
    <xf numFmtId="0" fontId="0" fillId="0" borderId="0" xfId="0"/>
    <xf numFmtId="0" fontId="8" fillId="0" borderId="23" xfId="0" applyFont="1" applyBorder="1"/>
    <xf numFmtId="0" fontId="11" fillId="2" borderId="16" xfId="0" applyFont="1" applyFill="1" applyBorder="1" applyAlignment="1">
      <alignment horizontal="center" vertical="center"/>
    </xf>
    <xf numFmtId="0" fontId="8" fillId="0" borderId="17" xfId="0" applyFont="1" applyBorder="1"/>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microsoft.com/office/2017/10/relationships/person" Target="persons/person.xml"/><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abSelected="1" topLeftCell="A4" zoomScale="115" zoomScaleNormal="115" workbookViewId="0">
      <selection activeCell="G12" sqref="G12"/>
    </sheetView>
  </sheetViews>
  <sheetFormatPr baseColWidth="10" defaultColWidth="12.59765625" defaultRowHeight="15" customHeight="1" x14ac:dyDescent="0.25"/>
  <cols>
    <col min="1" max="1" width="4.59765625" customWidth="1"/>
    <col min="2" max="2" width="8.09765625" customWidth="1"/>
    <col min="3" max="5" width="20.59765625" customWidth="1"/>
    <col min="6" max="6" width="10.59765625" customWidth="1"/>
    <col min="7" max="7" width="32.5" customWidth="1"/>
    <col min="8" max="12" width="10.59765625" customWidth="1"/>
    <col min="13" max="13" width="32.5" customWidth="1"/>
    <col min="14" max="15" width="20.59765625" customWidth="1"/>
    <col min="16" max="26" width="9.19921875" customWidth="1"/>
  </cols>
  <sheetData>
    <row r="1" spans="1:26" ht="14.4" x14ac:dyDescent="0.3">
      <c r="I1" s="1"/>
      <c r="J1" s="1"/>
      <c r="K1" s="2"/>
      <c r="L1" s="3"/>
    </row>
    <row r="2" spans="1:26" ht="14.4" x14ac:dyDescent="0.3">
      <c r="I2" s="1"/>
      <c r="J2" s="1"/>
      <c r="K2" s="2"/>
      <c r="L2" s="3"/>
    </row>
    <row r="3" spans="1:26" ht="45" customHeight="1" x14ac:dyDescent="0.25">
      <c r="B3" s="51" t="s">
        <v>0</v>
      </c>
      <c r="C3" s="52"/>
      <c r="D3" s="52"/>
      <c r="E3" s="52"/>
      <c r="F3" s="52"/>
      <c r="G3" s="52"/>
      <c r="H3" s="52"/>
      <c r="I3" s="52"/>
      <c r="J3" s="52"/>
      <c r="K3" s="52"/>
      <c r="L3" s="52"/>
      <c r="M3" s="52"/>
      <c r="N3" s="52"/>
      <c r="O3" s="52"/>
    </row>
    <row r="4" spans="1:26" ht="5.25" customHeight="1" x14ac:dyDescent="0.3">
      <c r="H4" s="4"/>
      <c r="I4" s="1"/>
      <c r="J4" s="1"/>
      <c r="K4" s="2"/>
      <c r="L4" s="3"/>
    </row>
    <row r="5" spans="1:26" ht="78.75" customHeight="1" x14ac:dyDescent="0.25">
      <c r="B5" s="5" t="s">
        <v>1</v>
      </c>
      <c r="C5" s="5" t="s">
        <v>2</v>
      </c>
      <c r="D5" s="6" t="s">
        <v>3</v>
      </c>
      <c r="E5" s="5" t="s">
        <v>4</v>
      </c>
      <c r="F5" s="5" t="s">
        <v>5</v>
      </c>
      <c r="G5" s="5" t="s">
        <v>6</v>
      </c>
      <c r="H5" s="5" t="s">
        <v>7</v>
      </c>
      <c r="I5" s="5" t="s">
        <v>8</v>
      </c>
      <c r="J5" s="5" t="s">
        <v>9</v>
      </c>
      <c r="K5" s="5" t="s">
        <v>10</v>
      </c>
      <c r="L5" s="5" t="s">
        <v>11</v>
      </c>
      <c r="M5" s="5" t="s">
        <v>12</v>
      </c>
      <c r="N5" s="5" t="s">
        <v>13</v>
      </c>
      <c r="O5" s="5" t="s">
        <v>14</v>
      </c>
    </row>
    <row r="6" spans="1:26" ht="72" customHeight="1" x14ac:dyDescent="0.25">
      <c r="B6" s="32" t="s">
        <v>15</v>
      </c>
      <c r="C6" s="35" t="s">
        <v>39</v>
      </c>
      <c r="D6" s="30" t="s">
        <v>50</v>
      </c>
      <c r="E6" s="30" t="s">
        <v>51</v>
      </c>
      <c r="F6" s="30" t="s">
        <v>34</v>
      </c>
      <c r="G6" s="30" t="s">
        <v>59</v>
      </c>
      <c r="H6" s="37" t="s">
        <v>35</v>
      </c>
      <c r="I6" s="30">
        <v>2</v>
      </c>
      <c r="J6" s="31">
        <v>46171</v>
      </c>
      <c r="K6" s="38" t="s">
        <v>19</v>
      </c>
      <c r="L6" s="40" t="s">
        <v>17</v>
      </c>
      <c r="M6" s="39" t="s">
        <v>52</v>
      </c>
      <c r="N6" s="30" t="s">
        <v>18</v>
      </c>
      <c r="O6" s="30" t="s">
        <v>53</v>
      </c>
    </row>
    <row r="7" spans="1:26" ht="103.5" customHeight="1" x14ac:dyDescent="0.25">
      <c r="B7" s="32" t="s">
        <v>38</v>
      </c>
      <c r="C7" s="35" t="s">
        <v>39</v>
      </c>
      <c r="D7" s="30" t="s">
        <v>48</v>
      </c>
      <c r="E7" s="30" t="s">
        <v>44</v>
      </c>
      <c r="F7" s="30" t="s">
        <v>34</v>
      </c>
      <c r="G7" s="30" t="s">
        <v>36</v>
      </c>
      <c r="H7" s="37" t="s">
        <v>35</v>
      </c>
      <c r="I7" s="30">
        <v>4</v>
      </c>
      <c r="J7" s="31">
        <v>46171</v>
      </c>
      <c r="K7" s="38" t="s">
        <v>19</v>
      </c>
      <c r="L7" s="30" t="s">
        <v>17</v>
      </c>
      <c r="M7" s="39" t="s">
        <v>45</v>
      </c>
      <c r="N7" s="30"/>
      <c r="O7" s="30" t="s">
        <v>37</v>
      </c>
    </row>
    <row r="8" spans="1:26" ht="99.75" customHeight="1" x14ac:dyDescent="0.25">
      <c r="A8" s="7"/>
      <c r="B8" s="34" t="s">
        <v>46</v>
      </c>
      <c r="C8" s="35" t="s">
        <v>39</v>
      </c>
      <c r="D8" s="30" t="s">
        <v>47</v>
      </c>
      <c r="E8" s="30" t="s">
        <v>40</v>
      </c>
      <c r="F8" s="40" t="s">
        <v>34</v>
      </c>
      <c r="G8" s="30" t="s">
        <v>33</v>
      </c>
      <c r="H8" s="30" t="s">
        <v>41</v>
      </c>
      <c r="I8" s="30">
        <v>4</v>
      </c>
      <c r="J8" s="46">
        <v>46171</v>
      </c>
      <c r="K8" s="30" t="s">
        <v>19</v>
      </c>
      <c r="L8" s="30" t="s">
        <v>21</v>
      </c>
      <c r="M8" s="30" t="s">
        <v>42</v>
      </c>
      <c r="N8" s="35"/>
      <c r="O8" s="30" t="s">
        <v>43</v>
      </c>
      <c r="P8" s="7"/>
      <c r="Q8" s="7"/>
      <c r="R8" s="7"/>
      <c r="S8" s="7"/>
      <c r="T8" s="7"/>
      <c r="U8" s="7"/>
      <c r="V8" s="7"/>
      <c r="W8" s="7"/>
      <c r="X8" s="7"/>
      <c r="Y8" s="7"/>
      <c r="Z8" s="7"/>
    </row>
    <row r="9" spans="1:26" ht="78" customHeight="1" x14ac:dyDescent="0.25">
      <c r="B9" s="32" t="s">
        <v>49</v>
      </c>
      <c r="C9" s="35" t="s">
        <v>39</v>
      </c>
      <c r="D9" s="33" t="s">
        <v>54</v>
      </c>
      <c r="E9" s="33" t="s">
        <v>55</v>
      </c>
      <c r="F9" s="33" t="s">
        <v>34</v>
      </c>
      <c r="G9" s="30" t="s">
        <v>56</v>
      </c>
      <c r="H9" s="33" t="s">
        <v>41</v>
      </c>
      <c r="I9" s="33">
        <v>2</v>
      </c>
      <c r="J9" s="47">
        <v>46192</v>
      </c>
      <c r="K9" s="30" t="s">
        <v>19</v>
      </c>
      <c r="L9" s="30" t="s">
        <v>21</v>
      </c>
      <c r="M9" s="33" t="s">
        <v>57</v>
      </c>
      <c r="N9" s="35"/>
      <c r="O9" s="33" t="s">
        <v>58</v>
      </c>
    </row>
    <row r="10" spans="1:26" ht="78" customHeight="1" x14ac:dyDescent="0.25">
      <c r="B10" s="32"/>
      <c r="C10" s="35"/>
      <c r="D10" s="35"/>
      <c r="E10" s="35"/>
      <c r="F10" s="41"/>
      <c r="G10" s="35"/>
      <c r="H10" s="35"/>
      <c r="I10" s="35"/>
      <c r="J10" s="45"/>
      <c r="K10" s="30"/>
      <c r="L10" s="30"/>
      <c r="M10" s="35"/>
      <c r="N10" s="35"/>
      <c r="O10" s="35"/>
    </row>
    <row r="11" spans="1:26" ht="66" customHeight="1" x14ac:dyDescent="0.25">
      <c r="B11" s="32"/>
      <c r="C11" s="35"/>
      <c r="D11" s="35"/>
      <c r="E11" s="35"/>
      <c r="F11" s="36"/>
      <c r="G11" s="35"/>
      <c r="H11" s="35"/>
      <c r="I11" s="35"/>
      <c r="J11" s="47"/>
      <c r="K11" s="30"/>
      <c r="L11" s="35"/>
      <c r="M11" s="35"/>
      <c r="N11" s="35"/>
      <c r="O11" s="35"/>
      <c r="P11" s="48"/>
    </row>
    <row r="12" spans="1:26" ht="99.75" customHeight="1" x14ac:dyDescent="0.25">
      <c r="B12" s="49"/>
      <c r="C12" s="40"/>
      <c r="D12" s="40"/>
      <c r="E12" s="40"/>
      <c r="F12" s="40"/>
      <c r="G12" s="40"/>
      <c r="H12" s="40"/>
      <c r="I12" s="40"/>
      <c r="J12" s="44"/>
      <c r="K12" s="30"/>
      <c r="L12" s="40"/>
      <c r="M12" s="40"/>
      <c r="N12" s="40"/>
      <c r="O12" s="40"/>
    </row>
    <row r="13" spans="1:26" ht="72" customHeight="1" x14ac:dyDescent="0.25">
      <c r="B13" s="50"/>
    </row>
    <row r="14" spans="1:26" ht="65.25" customHeight="1" x14ac:dyDescent="0.25">
      <c r="I14" s="1"/>
      <c r="J14" s="1"/>
      <c r="K14" s="9"/>
      <c r="L14" s="3"/>
    </row>
    <row r="15" spans="1:26" ht="64.5" customHeight="1" x14ac:dyDescent="0.25">
      <c r="I15" s="1"/>
      <c r="J15" s="1"/>
      <c r="K15" s="9"/>
      <c r="L15" s="3"/>
    </row>
    <row r="16" spans="1:26" ht="39.75" customHeight="1" x14ac:dyDescent="0.3">
      <c r="I16" s="1"/>
      <c r="J16" s="1"/>
      <c r="K16" s="2"/>
      <c r="L16" s="3"/>
    </row>
    <row r="17" spans="9:13" ht="39.75" customHeight="1" x14ac:dyDescent="0.3">
      <c r="I17" s="1"/>
      <c r="J17" s="1"/>
      <c r="K17" s="2"/>
      <c r="L17" s="3"/>
    </row>
    <row r="18" spans="9:13" ht="39.75" customHeight="1" x14ac:dyDescent="0.3">
      <c r="I18" s="1"/>
      <c r="J18" s="1"/>
      <c r="K18" s="2"/>
      <c r="L18" s="3"/>
    </row>
    <row r="19" spans="9:13" ht="19.5" customHeight="1" x14ac:dyDescent="0.3">
      <c r="I19" s="1"/>
      <c r="J19" s="1"/>
      <c r="K19" s="42" t="s">
        <v>19</v>
      </c>
      <c r="L19" s="43" t="s">
        <v>20</v>
      </c>
      <c r="M19" s="4"/>
    </row>
    <row r="20" spans="9:13" ht="19.5" customHeight="1" x14ac:dyDescent="0.3">
      <c r="I20" s="1"/>
      <c r="J20" s="1"/>
      <c r="K20" s="42" t="s">
        <v>16</v>
      </c>
      <c r="L20" s="43" t="s">
        <v>21</v>
      </c>
      <c r="M20" s="4"/>
    </row>
    <row r="21" spans="9:13" ht="19.5" customHeight="1" x14ac:dyDescent="0.3">
      <c r="I21" s="1"/>
      <c r="J21" s="1"/>
      <c r="K21" s="42" t="s">
        <v>22</v>
      </c>
      <c r="L21" s="43" t="s">
        <v>17</v>
      </c>
      <c r="M21" s="4"/>
    </row>
    <row r="22" spans="9:13" ht="19.5" customHeight="1" x14ac:dyDescent="0.3">
      <c r="I22" s="1"/>
      <c r="J22" s="1"/>
      <c r="K22" s="42"/>
      <c r="L22" s="43" t="s">
        <v>23</v>
      </c>
      <c r="M22" s="4"/>
    </row>
    <row r="23" spans="9:13" ht="19.5" customHeight="1" x14ac:dyDescent="0.3">
      <c r="I23" s="1"/>
      <c r="J23" s="1"/>
      <c r="K23" s="2"/>
      <c r="L23" s="3"/>
    </row>
    <row r="24" spans="9:13" ht="19.5" customHeight="1" x14ac:dyDescent="0.3">
      <c r="I24" s="1"/>
      <c r="J24" s="1"/>
      <c r="K24" s="2"/>
      <c r="L24" s="3"/>
    </row>
    <row r="25" spans="9:13" ht="19.5" customHeight="1" x14ac:dyDescent="0.3">
      <c r="I25" s="1"/>
      <c r="J25" s="1"/>
      <c r="K25" s="2"/>
      <c r="L25" s="3"/>
    </row>
    <row r="26" spans="9:13" ht="19.5" customHeight="1" x14ac:dyDescent="0.3">
      <c r="I26" s="1"/>
      <c r="J26" s="1"/>
      <c r="K26" s="2"/>
      <c r="L26" s="3"/>
    </row>
    <row r="27" spans="9:13" ht="19.5" customHeight="1" x14ac:dyDescent="0.3">
      <c r="I27" s="1"/>
      <c r="J27" s="1"/>
      <c r="K27" s="2"/>
      <c r="L27" s="3"/>
    </row>
    <row r="28" spans="9:13" ht="19.5" customHeight="1" x14ac:dyDescent="0.3">
      <c r="I28" s="1"/>
      <c r="J28" s="1"/>
      <c r="K28" s="2"/>
      <c r="L28" s="3"/>
    </row>
    <row r="29" spans="9:13" ht="19.5" customHeight="1" x14ac:dyDescent="0.3">
      <c r="I29" s="1"/>
      <c r="J29" s="1"/>
      <c r="K29" s="2"/>
      <c r="L29" s="3"/>
    </row>
    <row r="30" spans="9:13" ht="19.5" customHeight="1" x14ac:dyDescent="0.3">
      <c r="I30" s="1"/>
      <c r="J30" s="1"/>
      <c r="K30" s="2"/>
      <c r="L30" s="3"/>
    </row>
    <row r="31" spans="9:13" ht="19.5" customHeight="1" x14ac:dyDescent="0.3">
      <c r="I31" s="1"/>
      <c r="J31" s="1"/>
      <c r="K31" s="2"/>
      <c r="L31" s="3"/>
    </row>
    <row r="32" spans="9:13" ht="19.5" customHeight="1" x14ac:dyDescent="0.3">
      <c r="I32" s="1"/>
      <c r="J32" s="1"/>
      <c r="K32" s="2"/>
      <c r="L32" s="3"/>
    </row>
    <row r="33" spans="9:12" ht="19.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3">
      <c r="I987" s="1"/>
      <c r="J987" s="1"/>
      <c r="K987" s="2"/>
      <c r="L987" s="3"/>
    </row>
    <row r="988" spans="9:12" ht="15.75" customHeight="1" x14ac:dyDescent="0.3">
      <c r="I988" s="1"/>
      <c r="J988" s="1"/>
      <c r="K988" s="2"/>
      <c r="L988" s="3"/>
    </row>
    <row r="989" spans="9:12" ht="15.75" customHeight="1" x14ac:dyDescent="0.25">
      <c r="I989" s="3"/>
      <c r="J989" s="3"/>
      <c r="K989" s="8"/>
      <c r="L989" s="3"/>
    </row>
    <row r="990" spans="9:12" ht="15.75" customHeight="1" x14ac:dyDescent="0.25">
      <c r="I990" s="3"/>
      <c r="J990" s="3"/>
      <c r="K990" s="8"/>
      <c r="L990" s="3"/>
    </row>
    <row r="991" spans="9:12" ht="15.75" customHeight="1" x14ac:dyDescent="0.25"/>
    <row r="992" spans="9:1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
    <mergeCell ref="B3:O3"/>
  </mergeCells>
  <phoneticPr fontId="13" type="noConversion"/>
  <dataValidations count="2">
    <dataValidation type="list" allowBlank="1" showErrorMessage="1" sqref="L6:L12" xr:uid="{00000000-0002-0000-0000-000000000000}">
      <formula1>$L$19:$L$22</formula1>
    </dataValidation>
    <dataValidation type="list" allowBlank="1" showErrorMessage="1" sqref="K6:K12" xr:uid="{00000000-0002-0000-0000-000001000000}">
      <formula1>$K$19:$K$21</formula1>
    </dataValidation>
  </dataValidations>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topLeftCell="A7" zoomScale="85" zoomScaleNormal="85" workbookViewId="0">
      <selection activeCell="C10" sqref="C10"/>
    </sheetView>
  </sheetViews>
  <sheetFormatPr baseColWidth="10" defaultColWidth="12.59765625" defaultRowHeight="15" customHeight="1" x14ac:dyDescent="0.25"/>
  <cols>
    <col min="1" max="1" width="9.19921875" customWidth="1"/>
    <col min="2" max="2" width="2.59765625" customWidth="1"/>
    <col min="3" max="15" width="10.59765625" customWidth="1"/>
    <col min="16" max="16" width="2.59765625" customWidth="1"/>
    <col min="17" max="26" width="9.19921875" customWidth="1"/>
  </cols>
  <sheetData>
    <row r="2" spans="2:16" ht="15" hidden="1" customHeight="1" x14ac:dyDescent="0.25"/>
    <row r="3" spans="2:16" ht="15" hidden="1" customHeight="1" x14ac:dyDescent="0.25"/>
    <row r="4" spans="2:16" ht="14.4" hidden="1" x14ac:dyDescent="0.3">
      <c r="C4" s="10"/>
      <c r="D4" s="10"/>
      <c r="E4" s="10"/>
      <c r="F4" s="4"/>
    </row>
    <row r="5" spans="2:16" ht="14.4" hidden="1" x14ac:dyDescent="0.3">
      <c r="C5" s="10"/>
      <c r="D5" s="10"/>
      <c r="E5" s="10"/>
      <c r="F5" s="4"/>
    </row>
    <row r="6" spans="2:16" ht="39.75" customHeight="1" x14ac:dyDescent="0.25">
      <c r="B6" s="72" t="s">
        <v>24</v>
      </c>
      <c r="C6" s="73"/>
      <c r="D6" s="73"/>
      <c r="E6" s="73"/>
      <c r="F6" s="73"/>
      <c r="G6" s="73"/>
      <c r="H6" s="73"/>
      <c r="I6" s="73"/>
      <c r="J6" s="73"/>
      <c r="K6" s="73"/>
      <c r="L6" s="73"/>
      <c r="M6" s="73"/>
      <c r="N6" s="73"/>
      <c r="O6" s="73"/>
      <c r="P6" s="74"/>
    </row>
    <row r="7" spans="2:16" ht="9.75" customHeight="1" x14ac:dyDescent="0.25">
      <c r="C7" s="11"/>
      <c r="D7" s="11"/>
      <c r="E7" s="11"/>
      <c r="F7" s="11"/>
      <c r="G7" s="11"/>
      <c r="H7" s="11"/>
      <c r="I7" s="11"/>
      <c r="J7" s="11"/>
      <c r="K7" s="11"/>
      <c r="L7" s="11"/>
      <c r="M7" s="11"/>
      <c r="N7" s="11"/>
      <c r="O7" s="11"/>
    </row>
    <row r="8" spans="2:16" ht="9.75" customHeight="1" x14ac:dyDescent="0.3">
      <c r="B8" s="23"/>
      <c r="C8" s="24"/>
      <c r="D8" s="24"/>
      <c r="E8" s="24"/>
      <c r="F8" s="25"/>
      <c r="G8" s="26"/>
      <c r="H8" s="26"/>
      <c r="I8" s="26"/>
      <c r="J8" s="26"/>
      <c r="K8" s="26"/>
      <c r="L8" s="26"/>
      <c r="M8" s="26"/>
      <c r="N8" s="26"/>
      <c r="O8" s="26"/>
      <c r="P8" s="27"/>
    </row>
    <row r="9" spans="2:16" ht="30" customHeight="1" x14ac:dyDescent="0.25">
      <c r="B9" s="28"/>
      <c r="C9" s="12" t="s">
        <v>1</v>
      </c>
      <c r="D9" s="13"/>
      <c r="E9" s="75" t="s">
        <v>25</v>
      </c>
      <c r="F9" s="74"/>
      <c r="G9" s="13"/>
      <c r="H9" s="75" t="s">
        <v>11</v>
      </c>
      <c r="I9" s="74"/>
      <c r="J9" s="14"/>
      <c r="K9" s="14"/>
      <c r="L9" s="14"/>
      <c r="M9" s="14"/>
      <c r="N9" s="14"/>
      <c r="O9" s="14"/>
      <c r="P9" s="29"/>
    </row>
    <row r="10" spans="2:16" ht="30" customHeight="1" x14ac:dyDescent="0.25">
      <c r="B10" s="28"/>
      <c r="C10" s="15" t="s">
        <v>15</v>
      </c>
      <c r="D10" s="16"/>
      <c r="E10" s="76" t="str">
        <f>VLOOKUP(C10,'Formato descripción HU'!B6:O15,5,0)</f>
        <v>Odalys Molina</v>
      </c>
      <c r="F10" s="74"/>
      <c r="G10" s="17"/>
      <c r="H10" s="76" t="str">
        <f>VLOOKUP(C10,'Formato descripción HU'!B6:O15,11,0)</f>
        <v>Terminado</v>
      </c>
      <c r="I10" s="74"/>
      <c r="J10" s="17"/>
      <c r="K10" s="14"/>
      <c r="L10" s="14"/>
      <c r="M10" s="14"/>
      <c r="N10" s="14"/>
      <c r="O10" s="14"/>
      <c r="P10" s="29"/>
    </row>
    <row r="11" spans="2:16" ht="9.75" customHeight="1" x14ac:dyDescent="0.25">
      <c r="B11" s="28"/>
      <c r="C11" s="18"/>
      <c r="D11" s="16"/>
      <c r="E11" s="19"/>
      <c r="F11" s="19"/>
      <c r="G11" s="17"/>
      <c r="H11" s="19"/>
      <c r="I11" s="19"/>
      <c r="J11" s="17"/>
      <c r="K11" s="19"/>
      <c r="L11" s="19"/>
      <c r="M11" s="14"/>
      <c r="N11" s="19"/>
      <c r="O11" s="19"/>
      <c r="P11" s="29"/>
    </row>
    <row r="12" spans="2:16" ht="30" customHeight="1" x14ac:dyDescent="0.25">
      <c r="B12" s="28"/>
      <c r="C12" s="12" t="s">
        <v>26</v>
      </c>
      <c r="D12" s="16"/>
      <c r="E12" s="75" t="s">
        <v>10</v>
      </c>
      <c r="F12" s="74"/>
      <c r="G12" s="17"/>
      <c r="H12" s="75" t="s">
        <v>27</v>
      </c>
      <c r="I12" s="74"/>
      <c r="J12" s="17"/>
      <c r="K12" s="19"/>
      <c r="L12" s="19"/>
      <c r="M12" s="14"/>
      <c r="N12" s="19"/>
      <c r="O12" s="19"/>
      <c r="P12" s="29"/>
    </row>
    <row r="13" spans="2:16" ht="30" customHeight="1" x14ac:dyDescent="0.25">
      <c r="B13" s="28"/>
      <c r="C13" s="15">
        <f>VLOOKUP('Historia de Usuario'!C10,'Formato descripción HU'!B6:O15,8,0)</f>
        <v>2</v>
      </c>
      <c r="D13" s="16"/>
      <c r="E13" s="76" t="str">
        <f>VLOOKUP(C10,'Formato descripción HU'!B6:O15,10,0)</f>
        <v>Alta</v>
      </c>
      <c r="F13" s="74"/>
      <c r="G13" s="17"/>
      <c r="H13" s="76" t="str">
        <f>VLOOKUP(C10,'Formato descripción HU'!B6:O15,7,0)</f>
        <v>Erik Peña</v>
      </c>
      <c r="I13" s="74"/>
      <c r="J13" s="17"/>
      <c r="K13" s="19"/>
      <c r="L13" s="19"/>
      <c r="M13" s="14"/>
      <c r="N13" s="19"/>
      <c r="O13" s="19"/>
      <c r="P13" s="29"/>
    </row>
    <row r="14" spans="2:16" ht="9.75" customHeight="1" x14ac:dyDescent="0.25">
      <c r="B14" s="28"/>
      <c r="C14" s="14"/>
      <c r="D14" s="16"/>
      <c r="E14" s="14"/>
      <c r="F14" s="14"/>
      <c r="G14" s="17"/>
      <c r="H14" s="17"/>
      <c r="I14" s="14"/>
      <c r="J14" s="14"/>
      <c r="K14" s="14"/>
      <c r="L14" s="14"/>
      <c r="M14" s="14"/>
      <c r="N14" s="14"/>
      <c r="O14" s="14"/>
      <c r="P14" s="29"/>
    </row>
    <row r="15" spans="2:16" ht="19.5" customHeight="1" x14ac:dyDescent="0.25">
      <c r="B15" s="28"/>
      <c r="C15" s="53" t="s">
        <v>28</v>
      </c>
      <c r="D15" s="63" t="str">
        <f>VLOOKUP(C10,'Formato descripción HU'!B6:O15,3,0)</f>
        <v xml:space="preserve">El programa debera permitir al  usuario observar un menu de 3 alternativas </v>
      </c>
      <c r="E15" s="57"/>
      <c r="F15" s="14"/>
      <c r="G15" s="53" t="s">
        <v>29</v>
      </c>
      <c r="H15" s="63" t="str">
        <f>VLOOKUP(C10,'Formato descripción HU'!B6:O15,4,0)</f>
        <v>Para que el ususario seleccione la opcion que mejor le convenga en ese momento.</v>
      </c>
      <c r="I15" s="78"/>
      <c r="J15" s="57"/>
      <c r="K15" s="14"/>
      <c r="L15" s="53" t="s">
        <v>30</v>
      </c>
      <c r="M15" s="63" t="str">
        <f>VLOOKUP(C10,'Formato descripción HU'!B6:O15,6,0)</f>
        <v xml:space="preserve">1. Desarrollo de opciones con los que el  usuario se familiarizara según lo que desea hacer.
2. Presentar en consola el menu de las opciones que el usuario usara para encontrar las llaves.
</v>
      </c>
      <c r="N15" s="64"/>
      <c r="O15" s="65"/>
      <c r="P15" s="29"/>
    </row>
    <row r="16" spans="2:16" ht="19.5" customHeight="1" x14ac:dyDescent="0.25">
      <c r="B16" s="28"/>
      <c r="C16" s="54"/>
      <c r="D16" s="61"/>
      <c r="E16" s="62"/>
      <c r="F16" s="14"/>
      <c r="G16" s="54"/>
      <c r="H16" s="61"/>
      <c r="I16" s="79"/>
      <c r="J16" s="62"/>
      <c r="K16" s="14"/>
      <c r="L16" s="54"/>
      <c r="M16" s="66"/>
      <c r="N16" s="67"/>
      <c r="O16" s="68"/>
      <c r="P16" s="29"/>
    </row>
    <row r="17" spans="2:16" ht="19.5" customHeight="1" x14ac:dyDescent="0.25">
      <c r="B17" s="28"/>
      <c r="C17" s="55"/>
      <c r="D17" s="58"/>
      <c r="E17" s="59"/>
      <c r="F17" s="14"/>
      <c r="G17" s="55"/>
      <c r="H17" s="58"/>
      <c r="I17" s="80"/>
      <c r="J17" s="59"/>
      <c r="K17" s="14"/>
      <c r="L17" s="55"/>
      <c r="M17" s="69"/>
      <c r="N17" s="70"/>
      <c r="O17" s="71"/>
      <c r="P17" s="29"/>
    </row>
    <row r="18" spans="2:16" ht="9.75" customHeight="1" x14ac:dyDescent="0.25">
      <c r="B18" s="28"/>
      <c r="C18" s="14"/>
      <c r="D18" s="14"/>
      <c r="E18" s="14"/>
      <c r="F18" s="14"/>
      <c r="G18" s="17"/>
      <c r="H18" s="17"/>
      <c r="I18" s="17"/>
      <c r="J18" s="14"/>
      <c r="K18" s="14"/>
      <c r="L18" s="14"/>
      <c r="M18" s="14"/>
      <c r="N18" s="14"/>
      <c r="O18" s="14"/>
      <c r="P18" s="29"/>
    </row>
    <row r="19" spans="2:16" ht="19.5" customHeight="1" x14ac:dyDescent="0.25">
      <c r="B19" s="28"/>
      <c r="C19" s="56" t="s">
        <v>31</v>
      </c>
      <c r="D19" s="57"/>
      <c r="E19" s="81" t="str">
        <f>VLOOKUP(C10,'Formato descripción HU'!B6:O15,14,0)</f>
        <v>Menu Principal.</v>
      </c>
      <c r="F19" s="82"/>
      <c r="G19" s="82"/>
      <c r="H19" s="82"/>
      <c r="I19" s="82"/>
      <c r="J19" s="82"/>
      <c r="K19" s="82"/>
      <c r="L19" s="82"/>
      <c r="M19" s="82"/>
      <c r="N19" s="82"/>
      <c r="O19" s="83"/>
      <c r="P19" s="29"/>
    </row>
    <row r="20" spans="2:16" ht="19.5" customHeight="1" x14ac:dyDescent="0.25">
      <c r="B20" s="28"/>
      <c r="C20" s="58"/>
      <c r="D20" s="59"/>
      <c r="E20" s="84"/>
      <c r="F20" s="85"/>
      <c r="G20" s="85"/>
      <c r="H20" s="85"/>
      <c r="I20" s="85"/>
      <c r="J20" s="85"/>
      <c r="K20" s="85"/>
      <c r="L20" s="85"/>
      <c r="M20" s="85"/>
      <c r="N20" s="85"/>
      <c r="O20" s="86"/>
      <c r="P20" s="29"/>
    </row>
    <row r="21" spans="2:16" ht="9.75" customHeight="1" x14ac:dyDescent="0.25">
      <c r="B21" s="28"/>
      <c r="C21" s="14"/>
      <c r="D21" s="14"/>
      <c r="E21" s="14"/>
      <c r="F21" s="14"/>
      <c r="G21" s="14"/>
      <c r="H21" s="14"/>
      <c r="I21" s="14"/>
      <c r="J21" s="14"/>
      <c r="K21" s="14"/>
      <c r="L21" s="14"/>
      <c r="M21" s="14"/>
      <c r="N21" s="14"/>
      <c r="O21" s="14"/>
      <c r="P21" s="29"/>
    </row>
    <row r="22" spans="2:16" ht="19.5" customHeight="1" x14ac:dyDescent="0.25">
      <c r="B22" s="28"/>
      <c r="C22" s="60" t="s">
        <v>32</v>
      </c>
      <c r="D22" s="57"/>
      <c r="E22" s="63" t="str">
        <f>VLOOKUP(C10,'Formato descripción HU'!B6:O15,12,0)</f>
        <v>Ejecución del código en el IDE CodeBlocks verificando el funcionamiento correcto en consola de las opciones presentadas.</v>
      </c>
      <c r="F22" s="64"/>
      <c r="G22" s="64"/>
      <c r="H22" s="65"/>
      <c r="I22" s="14"/>
      <c r="J22" s="60" t="s">
        <v>13</v>
      </c>
      <c r="K22" s="57"/>
      <c r="L22" s="77" t="str">
        <f>VLOOKUP(C10,'Formato descripción HU'!B6:O15,13,0)</f>
        <v>-</v>
      </c>
      <c r="M22" s="78"/>
      <c r="N22" s="78"/>
      <c r="O22" s="57"/>
      <c r="P22" s="29"/>
    </row>
    <row r="23" spans="2:16" ht="19.5" customHeight="1" x14ac:dyDescent="0.25">
      <c r="B23" s="28"/>
      <c r="C23" s="61"/>
      <c r="D23" s="62"/>
      <c r="E23" s="66"/>
      <c r="F23" s="67"/>
      <c r="G23" s="67"/>
      <c r="H23" s="68"/>
      <c r="I23" s="14"/>
      <c r="J23" s="61"/>
      <c r="K23" s="62"/>
      <c r="L23" s="61"/>
      <c r="M23" s="79"/>
      <c r="N23" s="79"/>
      <c r="O23" s="62"/>
      <c r="P23" s="29"/>
    </row>
    <row r="24" spans="2:16" ht="19.5" customHeight="1" x14ac:dyDescent="0.25">
      <c r="B24" s="28"/>
      <c r="C24" s="58"/>
      <c r="D24" s="59"/>
      <c r="E24" s="69"/>
      <c r="F24" s="70"/>
      <c r="G24" s="70"/>
      <c r="H24" s="71"/>
      <c r="I24" s="14"/>
      <c r="J24" s="58"/>
      <c r="K24" s="59"/>
      <c r="L24" s="58"/>
      <c r="M24" s="80"/>
      <c r="N24" s="80"/>
      <c r="O24" s="59"/>
      <c r="P24" s="29"/>
    </row>
    <row r="25" spans="2:16" ht="9.75" customHeight="1" x14ac:dyDescent="0.25">
      <c r="B25" s="20"/>
      <c r="C25" s="21"/>
      <c r="D25" s="21"/>
      <c r="E25" s="21"/>
      <c r="F25" s="21"/>
      <c r="G25" s="21"/>
      <c r="H25" s="21"/>
      <c r="I25" s="21"/>
      <c r="J25" s="21"/>
      <c r="K25" s="21"/>
      <c r="L25" s="21"/>
      <c r="M25" s="21"/>
      <c r="N25" s="21"/>
      <c r="O25" s="21"/>
      <c r="P25" s="22"/>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HU'!$B$6:$B$12</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PC</cp:lastModifiedBy>
  <cp:revision/>
  <dcterms:created xsi:type="dcterms:W3CDTF">2019-10-21T15:37:14Z</dcterms:created>
  <dcterms:modified xsi:type="dcterms:W3CDTF">2026-06-18T02:15:43Z</dcterms:modified>
  <cp:category/>
  <cp:contentStatus/>
</cp:coreProperties>
</file>