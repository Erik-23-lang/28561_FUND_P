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espe-my.sharepoint.com/personal/egpena1_espe_edu_ec/Documents/Documentos/"/>
    </mc:Choice>
  </mc:AlternateContent>
  <xr:revisionPtr revIDLastSave="0" documentId="8_{C89FEA4F-0C29-441A-823C-6BF8D8522A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<sst xmlns="http://schemas.openxmlformats.org/spreadsheetml/2006/main" count="48" uniqueCount="41">
  <si>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</si>
  <si>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</si>
  <si>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</si>
  <si>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</si>
  <si>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</si>
  <si>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</si>
  <si>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</si>
  <si>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</si>
  <si>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</si>
  <si>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</si>
  <si>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</si>
  <si>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</si>
  <si>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</si>
  <si>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</si>
  <si>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</si>
  <si>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</si>
  <si>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</si>
  <si>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</si>
  <si>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-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</si>
  <si>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</si>
  <si>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</si>
  <si>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</si>
  <si>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</si>
  <si>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</si>
  <si>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</si>
  <si>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</si>
  <si>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</si>
  <si>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</si>
  <si>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</si>
  <si>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</si>
  <si>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</si>
  <si>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</si>
  <si>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</si>
  <si>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El sistema permite al usuario activar una alarma para localizar la llave fisica</t>
  </si>
  <si>
    <t>Usuario</t>
  </si>
  <si>
    <t xml:space="preserve">Erik Peña, Francisco Freire </t>
  </si>
  <si>
    <t xml:space="preserve">Activacion de Alarma </t>
  </si>
  <si>
    <t>Para asi que el usuario pueda encontrar la llave fisica.</t>
  </si>
  <si>
    <t>Dificultad para la localizacion de la llave fisica ya sea del departamento o del  local.</t>
  </si>
  <si>
    <t>1.-Desarrollo del programa para activar la alarma mediante señal o botón.
2.-Emisión de sonido por el arduino para indicar la ubicación de la llave.</t>
  </si>
  <si>
    <t>Prueba con Arduino conectado a la llave, verificando la emisión de sonido y la correcta activación del dispositivo.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</si>
</sst>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4" fillId="0" borderId="30" xfId="0" applyFont="1" applyBorder="1" applyAlignment="1">
      <alignment horizontal="center" vertical="center"/>
    </xf>
    <xf numFmtId="0" fontId="0" fillId="0" borderId="7" xfId="0" applyBorder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0" xfId="0" applyFont="1" applyBorder="1"/>
    <xf numFmtId="0" fontId="8" fillId="0" borderId="13" xfId="0" applyFont="1" applyBorder="1"/>
    <xf numFmtId="0" fontId="0" fillId="0" borderId="0" xfId="0"/>
    <xf numFmtId="0" fontId="8" fillId="0" borderId="14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9" fillId="4" borderId="3" xfId="0" applyFont="1" applyFill="1" applyBorder="1" applyAlignment="1">
      <alignment horizontal="center" vertical="center"/>
    </xf>
    <xf numFmtId="0" fontId="8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1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zoomScale="85" zoomScaleNormal="85" workbookViewId="0">
      <selection activeCell="I7" sqref="I7"/>
    </sheetView>
  </sheetViews>
  <sheetFormatPr baseColWidth="10" defaultColWidth="12.59765625" defaultRowHeight="15" customHeight="1" x14ac:dyDescent="0.25"/>
  <cols>
    <col min="1" max="1" width="4.59765625" customWidth="1"/>
    <col min="2" max="2" width="8.09765625" customWidth="1"/>
    <col min="3" max="5" width="20.59765625" customWidth="1"/>
    <col min="6" max="6" width="10.59765625" customWidth="1"/>
    <col min="7" max="7" width="32.5" customWidth="1"/>
    <col min="8" max="12" width="10.59765625" customWidth="1"/>
    <col min="13" max="13" width="32.5" customWidth="1"/>
    <col min="14" max="15" width="20.59765625" customWidth="1"/>
    <col min="16" max="26" width="9.296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51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26" ht="5.25" customHeight="1" x14ac:dyDescent="0.3">
      <c r="H4" s="4"/>
      <c r="I4" s="1"/>
      <c r="J4" s="1"/>
      <c r="K4" s="2"/>
      <c r="L4" s="3"/>
    </row>
    <row r="5" spans="1:26" ht="78.75" customHeight="1" x14ac:dyDescent="0.2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5">
      <c r="B6" s="32" t="s">
        <v>15</v>
      </c>
      <c r="C6" s="30" t="s">
        <v>38</v>
      </c>
      <c r="D6" s="30" t="s">
        <v>33</v>
      </c>
      <c r="E6" s="30" t="s">
        <v>37</v>
      </c>
      <c r="F6" s="30" t="s">
        <v>34</v>
      </c>
      <c r="G6" s="30" t="s">
        <v>39</v>
      </c>
      <c r="H6" s="37" t="s">
        <v>35</v>
      </c>
      <c r="I6" s="30">
        <v>3</v>
      </c>
      <c r="J6" s="31">
        <v>46164</v>
      </c>
      <c r="K6" s="38" t="s">
        <v>16</v>
      </c>
      <c r="L6" s="40" t="s">
        <v>20</v>
      </c>
      <c r="M6" s="39" t="s">
        <v>40</v>
      </c>
      <c r="N6" s="30" t="s">
        <v>18</v>
      </c>
      <c r="O6" s="30" t="s">
        <v>36</v>
      </c>
    </row>
    <row r="7" spans="1:26" ht="103.5" customHeight="1" x14ac:dyDescent="0.25">
      <c r="B7" s="32"/>
      <c r="C7" s="30"/>
      <c r="D7" s="30"/>
      <c r="E7" s="30"/>
      <c r="F7" s="40"/>
      <c r="G7" s="30"/>
      <c r="H7" s="30"/>
      <c r="I7" s="30"/>
      <c r="J7" s="46"/>
      <c r="K7" s="30"/>
      <c r="L7" s="30"/>
      <c r="M7" s="30"/>
      <c r="N7" s="30"/>
      <c r="O7" s="30"/>
    </row>
    <row r="8" spans="1:26" ht="99.75" customHeight="1" x14ac:dyDescent="0.25">
      <c r="A8" s="7"/>
      <c r="B8" s="32"/>
      <c r="C8" s="34"/>
      <c r="D8" s="33"/>
      <c r="E8" s="33"/>
      <c r="F8" s="33"/>
      <c r="G8" s="33"/>
      <c r="H8" s="33"/>
      <c r="I8" s="33"/>
      <c r="J8" s="47"/>
      <c r="K8" s="30"/>
      <c r="L8" s="30"/>
      <c r="M8" s="33"/>
      <c r="N8" s="35"/>
      <c r="O8" s="33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5">
      <c r="B9" s="32"/>
      <c r="C9" s="35"/>
      <c r="D9" s="35"/>
      <c r="E9" s="35"/>
      <c r="F9" s="36"/>
      <c r="G9" s="35"/>
      <c r="H9" s="35"/>
      <c r="I9" s="35"/>
      <c r="J9" s="47"/>
      <c r="K9" s="30"/>
      <c r="L9" s="30"/>
      <c r="M9" s="35"/>
      <c r="N9" s="35"/>
      <c r="O9" s="35"/>
    </row>
    <row r="10" spans="1:26" ht="78" customHeight="1" x14ac:dyDescent="0.25">
      <c r="B10" s="32"/>
      <c r="C10" s="35"/>
      <c r="D10" s="35"/>
      <c r="E10" s="35"/>
      <c r="F10" s="41"/>
      <c r="G10" s="35"/>
      <c r="H10" s="35"/>
      <c r="I10" s="35"/>
      <c r="J10" s="45"/>
      <c r="K10" s="30"/>
      <c r="L10" s="30"/>
      <c r="M10" s="35"/>
      <c r="N10" s="35"/>
      <c r="O10" s="35"/>
    </row>
    <row r="11" spans="1:26" ht="66" customHeight="1" x14ac:dyDescent="0.25">
      <c r="B11" s="32"/>
      <c r="C11" s="35"/>
      <c r="D11" s="35"/>
      <c r="E11" s="35"/>
      <c r="F11" s="36"/>
      <c r="G11" s="35"/>
      <c r="H11" s="35"/>
      <c r="I11" s="35"/>
      <c r="J11" s="47"/>
      <c r="K11" s="30"/>
      <c r="L11" s="35"/>
      <c r="M11" s="35"/>
      <c r="N11" s="35"/>
      <c r="O11" s="35"/>
      <c r="P11" s="48"/>
    </row>
    <row r="12" spans="1:26" ht="99.75" customHeight="1" x14ac:dyDescent="0.25">
      <c r="B12" s="49"/>
      <c r="C12" s="40"/>
      <c r="D12" s="40"/>
      <c r="E12" s="40"/>
      <c r="F12" s="40"/>
      <c r="G12" s="40"/>
      <c r="H12" s="40"/>
      <c r="I12" s="40"/>
      <c r="J12" s="44"/>
      <c r="K12" s="30"/>
      <c r="L12" s="40"/>
      <c r="M12" s="40"/>
      <c r="N12" s="40"/>
      <c r="O12" s="40"/>
    </row>
    <row r="13" spans="1:26" ht="72" customHeight="1" x14ac:dyDescent="0.25">
      <c r="B13" s="50"/>
    </row>
    <row r="14" spans="1:26" ht="65.25" customHeight="1" x14ac:dyDescent="0.25">
      <c r="I14" s="1"/>
      <c r="J14" s="1"/>
      <c r="K14" s="9"/>
      <c r="L14" s="3"/>
    </row>
    <row r="15" spans="1:26" ht="64.5" customHeight="1" x14ac:dyDescent="0.25">
      <c r="I15" s="1"/>
      <c r="J15" s="1"/>
      <c r="K15" s="9"/>
      <c r="L15" s="3"/>
    </row>
    <row r="16" spans="1:26" ht="39.75" customHeight="1" x14ac:dyDescent="0.3">
      <c r="I16" s="1"/>
      <c r="J16" s="1"/>
      <c r="K16" s="2"/>
      <c r="L16" s="3"/>
    </row>
    <row r="17" spans="9:13" ht="39.75" customHeight="1" x14ac:dyDescent="0.3">
      <c r="I17" s="1"/>
      <c r="J17" s="1"/>
      <c r="K17" s="2"/>
      <c r="L17" s="3"/>
    </row>
    <row r="18" spans="9:13" ht="39.75" customHeight="1" x14ac:dyDescent="0.3">
      <c r="I18" s="1"/>
      <c r="J18" s="1"/>
      <c r="K18" s="2"/>
      <c r="L18" s="3"/>
    </row>
    <row r="19" spans="9:13" ht="19.5" customHeight="1" x14ac:dyDescent="0.3">
      <c r="I19" s="1"/>
      <c r="J19" s="1"/>
      <c r="K19" s="42" t="s">
        <v>19</v>
      </c>
      <c r="L19" s="43" t="s">
        <v>20</v>
      </c>
      <c r="M19" s="4"/>
    </row>
    <row r="20" spans="9:13" ht="19.5" customHeight="1" x14ac:dyDescent="0.3">
      <c r="I20" s="1"/>
      <c r="J20" s="1"/>
      <c r="K20" s="42" t="s">
        <v>16</v>
      </c>
      <c r="L20" s="43" t="s">
        <v>21</v>
      </c>
      <c r="M20" s="4"/>
    </row>
    <row r="21" spans="9:13" ht="19.5" customHeight="1" x14ac:dyDescent="0.3">
      <c r="I21" s="1"/>
      <c r="J21" s="1"/>
      <c r="K21" s="42" t="s">
        <v>22</v>
      </c>
      <c r="L21" s="43" t="s">
        <v>17</v>
      </c>
      <c r="M21" s="4"/>
    </row>
    <row r="22" spans="9:13" ht="19.5" customHeight="1" x14ac:dyDescent="0.3">
      <c r="I22" s="1"/>
      <c r="J22" s="1"/>
      <c r="K22" s="42"/>
      <c r="L22" s="43" t="s">
        <v>23</v>
      </c>
      <c r="M22" s="4"/>
    </row>
    <row r="23" spans="9:13" ht="19.5" customHeight="1" x14ac:dyDescent="0.3">
      <c r="I23" s="1"/>
      <c r="J23" s="1"/>
      <c r="K23" s="2"/>
      <c r="L23" s="3"/>
    </row>
    <row r="24" spans="9:13" ht="19.5" customHeight="1" x14ac:dyDescent="0.3">
      <c r="I24" s="1"/>
      <c r="J24" s="1"/>
      <c r="K24" s="2"/>
      <c r="L24" s="3"/>
    </row>
    <row r="25" spans="9:13" ht="19.5" customHeight="1" x14ac:dyDescent="0.3">
      <c r="I25" s="1"/>
      <c r="J25" s="1"/>
      <c r="K25" s="2"/>
      <c r="L25" s="3"/>
    </row>
    <row r="26" spans="9:13" ht="19.5" customHeight="1" x14ac:dyDescent="0.3">
      <c r="I26" s="1"/>
      <c r="J26" s="1"/>
      <c r="K26" s="2"/>
      <c r="L26" s="3"/>
    </row>
    <row r="27" spans="9:13" ht="19.5" customHeight="1" x14ac:dyDescent="0.3">
      <c r="I27" s="1"/>
      <c r="J27" s="1"/>
      <c r="K27" s="2"/>
      <c r="L27" s="3"/>
    </row>
    <row r="28" spans="9:13" ht="19.5" customHeight="1" x14ac:dyDescent="0.3">
      <c r="I28" s="1"/>
      <c r="J28" s="1"/>
      <c r="K28" s="2"/>
      <c r="L28" s="3"/>
    </row>
    <row r="29" spans="9:13" ht="19.5" customHeight="1" x14ac:dyDescent="0.3">
      <c r="I29" s="1"/>
      <c r="J29" s="1"/>
      <c r="K29" s="2"/>
      <c r="L29" s="3"/>
    </row>
    <row r="30" spans="9:13" ht="19.5" customHeight="1" x14ac:dyDescent="0.3">
      <c r="I30" s="1"/>
      <c r="J30" s="1"/>
      <c r="K30" s="2"/>
      <c r="L30" s="3"/>
    </row>
    <row r="31" spans="9:13" ht="19.5" customHeight="1" x14ac:dyDescent="0.3">
      <c r="I31" s="1"/>
      <c r="J31" s="1"/>
      <c r="K31" s="2"/>
      <c r="L31" s="3"/>
    </row>
    <row r="32" spans="9:13" ht="19.5" customHeight="1" x14ac:dyDescent="0.3">
      <c r="I32" s="1"/>
      <c r="J32" s="1"/>
      <c r="K32" s="2"/>
      <c r="L32" s="3"/>
    </row>
    <row r="33" spans="9:12" ht="19.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25">
      <c r="I989" s="3"/>
      <c r="J989" s="3"/>
      <c r="K989" s="8"/>
      <c r="L989" s="3"/>
    </row>
    <row r="990" spans="9:12" ht="15.75" customHeight="1" x14ac:dyDescent="0.25">
      <c r="I990" s="3"/>
      <c r="J990" s="3"/>
      <c r="K990" s="8"/>
      <c r="L990" s="3"/>
    </row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B3:O3"/>
  </mergeCells>
  <phoneticPr fontId="13" type="noConversion"/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10"/>
      <c r="D4" s="10"/>
      <c r="E4" s="10"/>
      <c r="F4" s="4"/>
    </row>
    <row r="5" spans="2:16" ht="14.4" hidden="1" x14ac:dyDescent="0.3">
      <c r="C5" s="10"/>
      <c r="D5" s="10"/>
      <c r="E5" s="10"/>
      <c r="F5" s="4"/>
    </row>
    <row r="6" spans="2:16" ht="39.75" customHeight="1" x14ac:dyDescent="0.25">
      <c r="B6" s="76" t="s">
        <v>24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2"/>
    </row>
    <row r="7" spans="2:16" ht="9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3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5">
      <c r="B9" s="28"/>
      <c r="C9" s="12" t="s">
        <v>1</v>
      </c>
      <c r="D9" s="13"/>
      <c r="E9" s="71" t="s">
        <v>25</v>
      </c>
      <c r="F9" s="72"/>
      <c r="G9" s="13"/>
      <c r="H9" s="71" t="s">
        <v>11</v>
      </c>
      <c r="I9" s="72"/>
      <c r="J9" s="14"/>
      <c r="K9" s="14"/>
      <c r="L9" s="14"/>
      <c r="M9" s="14"/>
      <c r="N9" s="14"/>
      <c r="O9" s="14"/>
      <c r="P9" s="29"/>
    </row>
    <row r="10" spans="2:16" ht="30" customHeight="1" x14ac:dyDescent="0.25">
      <c r="B10" s="28"/>
      <c r="C10" s="15" t="s">
        <v>15</v>
      </c>
      <c r="D10" s="16"/>
      <c r="E10" s="73" t="str">
        <f>VLOOKUP(C10,'Formato descripción HU'!B6:O15,5,0)</f>
        <v>Usuario</v>
      </c>
      <c r="F10" s="72"/>
      <c r="G10" s="17"/>
      <c r="H10" s="73" t="str">
        <f>VLOOKUP(C10,'Formato descripción HU'!B6:O15,11,0)</f>
        <v>No iniciado</v>
      </c>
      <c r="I10" s="72"/>
      <c r="J10" s="17"/>
      <c r="K10" s="14"/>
      <c r="L10" s="14"/>
      <c r="M10" s="14"/>
      <c r="N10" s="14"/>
      <c r="O10" s="14"/>
      <c r="P10" s="29"/>
    </row>
    <row r="11" spans="2:16" ht="9.75" customHeight="1" x14ac:dyDescent="0.25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5">
      <c r="B12" s="28"/>
      <c r="C12" s="12" t="s">
        <v>26</v>
      </c>
      <c r="D12" s="16"/>
      <c r="E12" s="71" t="s">
        <v>10</v>
      </c>
      <c r="F12" s="72"/>
      <c r="G12" s="17"/>
      <c r="H12" s="71" t="s">
        <v>27</v>
      </c>
      <c r="I12" s="72"/>
      <c r="J12" s="17"/>
      <c r="K12" s="19"/>
      <c r="L12" s="19"/>
      <c r="M12" s="14"/>
      <c r="N12" s="19"/>
      <c r="O12" s="19"/>
      <c r="P12" s="29"/>
    </row>
    <row r="13" spans="2:16" ht="30" customHeight="1" x14ac:dyDescent="0.25">
      <c r="B13" s="28"/>
      <c r="C13" s="15">
        <f>VLOOKUP('Historia de Usuario'!C10,'Formato descripción HU'!B6:O15,8,0)</f>
        <v>3</v>
      </c>
      <c r="D13" s="16"/>
      <c r="E13" s="73" t="str">
        <f>VLOOKUP(C10,'Formato descripción HU'!B6:O15,10,0)</f>
        <v xml:space="preserve">Media </v>
      </c>
      <c r="F13" s="72"/>
      <c r="G13" s="17"/>
      <c r="H13" s="73" t="str">
        <f>VLOOKUP(C10,'Formato descripción HU'!B6:O15,7,0)</f>
        <v xml:space="preserve">Erik Peña, Francisco Freire </v>
      </c>
      <c r="I13" s="72"/>
      <c r="J13" s="17"/>
      <c r="K13" s="19"/>
      <c r="L13" s="19"/>
      <c r="M13" s="14"/>
      <c r="N13" s="19"/>
      <c r="O13" s="19"/>
      <c r="P13" s="29"/>
    </row>
    <row r="14" spans="2:16" ht="9.75" customHeight="1" x14ac:dyDescent="0.25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5">
      <c r="B15" s="28"/>
      <c r="C15" s="53" t="s">
        <v>28</v>
      </c>
      <c r="D15" s="78" t="str">
        <f>VLOOKUP(C10,'Formato descripción HU'!B6:O15,3,0)</f>
        <v>El sistema permite al usuario activar una alarma para localizar la llave fisica</v>
      </c>
      <c r="E15" s="58"/>
      <c r="F15" s="14"/>
      <c r="G15" s="53" t="s">
        <v>29</v>
      </c>
      <c r="H15" s="78" t="str">
        <f>VLOOKUP(C10,'Formato descripción HU'!B6:O15,4,0)</f>
        <v>Para asi que el usuario pueda encontrar la llave fisica.</v>
      </c>
      <c r="I15" s="57"/>
      <c r="J15" s="58"/>
      <c r="K15" s="14"/>
      <c r="L15" s="53" t="s">
        <v>30</v>
      </c>
      <c r="M15" s="56" t="str">
        <f>VLOOKUP(C10,'Formato descripción HU'!B6:O15,6,0)</f>
        <v>1.-Desarrollo del programa para activar la alarma mediante señal o botón.
2.-Emisión de sonido por el arduino para indicar la ubicación de la llave.</v>
      </c>
      <c r="N15" s="57"/>
      <c r="O15" s="58"/>
      <c r="P15" s="29"/>
    </row>
    <row r="16" spans="2:16" ht="19.5" customHeight="1" x14ac:dyDescent="0.25">
      <c r="B16" s="28"/>
      <c r="C16" s="54"/>
      <c r="D16" s="59"/>
      <c r="E16" s="61"/>
      <c r="F16" s="14"/>
      <c r="G16" s="54"/>
      <c r="H16" s="59"/>
      <c r="I16" s="60"/>
      <c r="J16" s="61"/>
      <c r="K16" s="14"/>
      <c r="L16" s="54"/>
      <c r="M16" s="59"/>
      <c r="N16" s="60"/>
      <c r="O16" s="61"/>
      <c r="P16" s="29"/>
    </row>
    <row r="17" spans="2:16" ht="19.5" customHeight="1" x14ac:dyDescent="0.25">
      <c r="B17" s="28"/>
      <c r="C17" s="55"/>
      <c r="D17" s="62"/>
      <c r="E17" s="64"/>
      <c r="F17" s="14"/>
      <c r="G17" s="55"/>
      <c r="H17" s="62"/>
      <c r="I17" s="63"/>
      <c r="J17" s="64"/>
      <c r="K17" s="14"/>
      <c r="L17" s="55"/>
      <c r="M17" s="62"/>
      <c r="N17" s="63"/>
      <c r="O17" s="64"/>
      <c r="P17" s="29"/>
    </row>
    <row r="18" spans="2:16" ht="9.75" customHeight="1" x14ac:dyDescent="0.25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5">
      <c r="B19" s="28"/>
      <c r="C19" s="74" t="s">
        <v>31</v>
      </c>
      <c r="D19" s="58"/>
      <c r="E19" s="65" t="str">
        <f>VLOOKUP(C10,'Formato descripción HU'!B6:O15,14,0)</f>
        <v xml:space="preserve">Activacion de Alarma </v>
      </c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29"/>
    </row>
    <row r="20" spans="2:16" ht="19.5" customHeight="1" x14ac:dyDescent="0.25">
      <c r="B20" s="28"/>
      <c r="C20" s="62"/>
      <c r="D20" s="64"/>
      <c r="E20" s="68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29"/>
    </row>
    <row r="21" spans="2:16" ht="9.75" customHeight="1" x14ac:dyDescent="0.25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5">
      <c r="B22" s="28"/>
      <c r="C22" s="75" t="s">
        <v>32</v>
      </c>
      <c r="D22" s="58"/>
      <c r="E22" s="56" t="str">
        <f>VLOOKUP(C10,'Formato descripción HU'!B6:O15,12,0)</f>
        <v>Prueba con Arduino conectado a la llave, verificando la emisión de sonido y la correcta activación del dispositivo.</v>
      </c>
      <c r="F22" s="57"/>
      <c r="G22" s="57"/>
      <c r="H22" s="58"/>
      <c r="I22" s="14"/>
      <c r="J22" s="75" t="s">
        <v>13</v>
      </c>
      <c r="K22" s="58"/>
      <c r="L22" s="56" t="str">
        <f>VLOOKUP(C10,'Formato descripción HU'!B6:O15,13,0)</f>
        <v>-</v>
      </c>
      <c r="M22" s="57"/>
      <c r="N22" s="57"/>
      <c r="O22" s="58"/>
      <c r="P22" s="29"/>
    </row>
    <row r="23" spans="2:16" ht="19.5" customHeight="1" x14ac:dyDescent="0.25">
      <c r="B23" s="28"/>
      <c r="C23" s="59"/>
      <c r="D23" s="61"/>
      <c r="E23" s="59"/>
      <c r="F23" s="60"/>
      <c r="G23" s="60"/>
      <c r="H23" s="61"/>
      <c r="I23" s="14"/>
      <c r="J23" s="59"/>
      <c r="K23" s="61"/>
      <c r="L23" s="59"/>
      <c r="M23" s="60"/>
      <c r="N23" s="60"/>
      <c r="O23" s="61"/>
      <c r="P23" s="29"/>
    </row>
    <row r="24" spans="2:16" ht="19.5" customHeight="1" x14ac:dyDescent="0.25">
      <c r="B24" s="28"/>
      <c r="C24" s="62"/>
      <c r="D24" s="64"/>
      <c r="E24" s="62"/>
      <c r="F24" s="63"/>
      <c r="G24" s="63"/>
      <c r="H24" s="64"/>
      <c r="I24" s="14"/>
      <c r="J24" s="62"/>
      <c r="K24" s="64"/>
      <c r="L24" s="62"/>
      <c r="M24" s="63"/>
      <c r="N24" s="63"/>
      <c r="O24" s="64"/>
      <c r="P24" s="29"/>
    </row>
    <row r="25" spans="2:16" ht="9.7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ERIK GABRIEL PE�A CABEZAS</cp:lastModifiedBy>
  <cp:revision/>
  <dcterms:created xsi:type="dcterms:W3CDTF">2019-10-21T15:37:14Z</dcterms:created>
  <dcterms:modified xsi:type="dcterms:W3CDTF">2026-05-18T17:08:40Z</dcterms:modified>
  <cp:category/>
  <cp:contentStatus/>
</cp:coreProperties>
</file>