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300\Downloads\"/>
    </mc:Choice>
  </mc:AlternateContent>
  <xr:revisionPtr revIDLastSave="0" documentId="13_ncr:1_{EE57C3A0-76A7-44EE-A08B-28730EAAA9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<sst xmlns="http://schemas.openxmlformats.org/spreadsheetml/2006/main" count="48" uniqueCount="41">
  <si>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</si>
  <si>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</si>
  <si>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</si>
  <si>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</si>
  <si>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</si>
  <si>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</si>
  <si>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</si>
  <si>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</si>
  <si>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</si>
  <si>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</si>
  <si>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</si>
  <si>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</si>
  <si>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</si>
  <si>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</si>
  <si>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</si>
  <si>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</si>
  <si>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Media </t>
  </si>
  <si>
    <t>Terminado</t>
  </si>
  <si>
    <t>-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</si>
  <si>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</si>
  <si>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</si>
  <si>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</si>
  <si>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</si>
  <si>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</si>
  <si>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</si>
  <si>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</si>
  <si>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</si>
  <si>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</si>
  <si>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</si>
  <si>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</si>
  <si>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</si>
  <si>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</si>
  <si>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</si>
  <si>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El sistema permite al usuario activar una alarma para localizar la llave fisica</t>
  </si>
  <si>
    <t xml:space="preserve">Erik Peña, Francisco Freire </t>
  </si>
  <si>
    <t xml:space="preserve">Activacion de Alarma </t>
  </si>
  <si>
    <t>Dificultad para la localizacion de la llave fisica ya sea del departamento o del  local.</t>
  </si>
  <si>
    <t>1.-Desarrollo del programa para activar la alarma mediante señal o botón.
2.-Emisión de sonido por el arduino para indicar la ubicación de la llave.</t>
  </si>
  <si>
    <t>Prueba con Arduino conectado a la llave, verificando la emisión de sonido y la correcta activación del dispositivo.</t>
  </si>
  <si>
    <t>Srta. Odalys Molina</t>
  </si>
  <si>
    <t>Para que el usuario pueda encontrar la llave fisica.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</si>
</sst>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sz val="10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i/>
      <u/>
      <sz val="16"/>
      <color theme="1"/>
      <name val="Calibri"/>
      <family val="2"/>
    </font>
    <font>
      <u/>
      <sz val="11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0" fillId="3" borderId="7" xfId="0" applyFill="1" applyBorder="1"/>
    <xf numFmtId="0" fontId="11" fillId="5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/>
    </xf>
    <xf numFmtId="0" fontId="1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9" xfId="0" applyFill="1" applyBorder="1"/>
    <xf numFmtId="0" fontId="6" fillId="3" borderId="11" xfId="0" applyFont="1" applyFill="1" applyBorder="1" applyAlignment="1">
      <alignment horizontal="left" vertical="center" wrapText="1"/>
    </xf>
    <xf numFmtId="0" fontId="1" fillId="3" borderId="11" xfId="0" applyFont="1" applyFill="1" applyBorder="1"/>
    <xf numFmtId="0" fontId="0" fillId="3" borderId="11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4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 wrapText="1"/>
    </xf>
    <xf numFmtId="14" fontId="15" fillId="0" borderId="25" xfId="0" applyNumberFormat="1" applyFont="1" applyBorder="1" applyAlignment="1">
      <alignment horizontal="center" vertical="center" wrapText="1"/>
    </xf>
    <xf numFmtId="14" fontId="15" fillId="0" borderId="2" xfId="0" applyNumberFormat="1" applyFont="1" applyBorder="1" applyAlignment="1">
      <alignment horizontal="center" vertical="center" wrapText="1"/>
    </xf>
    <xf numFmtId="14" fontId="15" fillId="0" borderId="26" xfId="0" applyNumberFormat="1" applyFont="1" applyBorder="1" applyAlignment="1">
      <alignment horizontal="center" vertical="center" wrapText="1"/>
    </xf>
    <xf numFmtId="0" fontId="18" fillId="0" borderId="0" xfId="0" applyFont="1"/>
    <xf numFmtId="0" fontId="4" fillId="0" borderId="30" xfId="0" applyFont="1" applyBorder="1" applyAlignment="1">
      <alignment horizontal="center" vertical="center"/>
    </xf>
    <xf numFmtId="0" fontId="0" fillId="0" borderId="7" xfId="0" applyBorder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9" fillId="6" borderId="8" xfId="0" applyFont="1" applyFill="1" applyBorder="1" applyAlignment="1">
      <alignment horizontal="center" vertical="center"/>
    </xf>
    <xf numFmtId="0" fontId="8" fillId="0" borderId="12" xfId="0" applyFont="1" applyBorder="1"/>
    <xf numFmtId="0" fontId="8" fillId="0" borderId="15" xfId="0" applyFont="1" applyBorder="1"/>
    <xf numFmtId="0" fontId="12" fillId="7" borderId="9" xfId="0" applyFont="1" applyFill="1" applyBorder="1" applyAlignment="1">
      <alignment horizontal="center" vertical="center"/>
    </xf>
    <xf numFmtId="0" fontId="8" fillId="0" borderId="10" xfId="0" applyFont="1" applyBorder="1"/>
    <xf numFmtId="0" fontId="8" fillId="0" borderId="22" xfId="0" applyFont="1" applyBorder="1"/>
    <xf numFmtId="0" fontId="8" fillId="0" borderId="24" xfId="0" applyFont="1" applyBorder="1"/>
    <xf numFmtId="0" fontId="9" fillId="4" borderId="9" xfId="0" applyFont="1" applyFill="1" applyBorder="1" applyAlignment="1">
      <alignment horizontal="center" vertical="center"/>
    </xf>
    <xf numFmtId="0" fontId="8" fillId="0" borderId="13" xfId="0" applyFont="1" applyBorder="1"/>
    <xf numFmtId="0" fontId="8" fillId="0" borderId="14" xfId="0" applyFont="1" applyBorder="1"/>
    <xf numFmtId="0" fontId="1" fillId="5" borderId="9" xfId="0" applyFont="1" applyFill="1" applyBorder="1" applyAlignment="1">
      <alignment horizontal="center" vertical="center"/>
    </xf>
    <xf numFmtId="0" fontId="8" fillId="0" borderId="11" xfId="0" applyFont="1" applyBorder="1"/>
    <xf numFmtId="0" fontId="0" fillId="0" borderId="0" xfId="0"/>
    <xf numFmtId="0" fontId="8" fillId="0" borderId="23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0" fontId="9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/>
    </xf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21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tabSelected="1" zoomScale="85" zoomScaleNormal="85" workbookViewId="0">
      <selection activeCell="D6" sqref="D6"/>
    </sheetView>
  </sheetViews>
  <sheetFormatPr baseColWidth="10" defaultColWidth="12.625" defaultRowHeight="15" customHeight="1" x14ac:dyDescent="0.2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12" width="10.625" customWidth="1"/>
    <col min="13" max="13" width="32.5" customWidth="1"/>
    <col min="14" max="15" width="20.625" customWidth="1"/>
    <col min="16" max="26" width="9.25" customWidth="1"/>
  </cols>
  <sheetData>
    <row r="1" spans="1:26" x14ac:dyDescent="0.25">
      <c r="I1" s="1"/>
      <c r="J1" s="1"/>
      <c r="K1" s="2"/>
      <c r="L1" s="3"/>
    </row>
    <row r="2" spans="1:26" x14ac:dyDescent="0.25">
      <c r="I2" s="1"/>
      <c r="J2" s="1"/>
      <c r="K2" s="2"/>
      <c r="L2" s="3"/>
    </row>
    <row r="3" spans="1:26" ht="45" customHeight="1" x14ac:dyDescent="0.2">
      <c r="B3" s="51" t="s">
        <v>0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</row>
    <row r="4" spans="1:26" ht="5.25" customHeight="1" x14ac:dyDescent="0.25">
      <c r="H4" s="4"/>
      <c r="I4" s="1"/>
      <c r="J4" s="1"/>
      <c r="K4" s="2"/>
      <c r="L4" s="3"/>
    </row>
    <row r="5" spans="1:26" ht="78.75" customHeight="1" x14ac:dyDescent="0.2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72" customHeight="1" x14ac:dyDescent="0.2">
      <c r="B6" s="32" t="s">
        <v>15</v>
      </c>
      <c r="C6" s="30" t="s">
        <v>36</v>
      </c>
      <c r="D6" s="30" t="s">
        <v>33</v>
      </c>
      <c r="E6" s="30" t="s">
        <v>40</v>
      </c>
      <c r="F6" s="30" t="s">
        <v>39</v>
      </c>
      <c r="G6" s="30" t="s">
        <v>37</v>
      </c>
      <c r="H6" s="37" t="s">
        <v>34</v>
      </c>
      <c r="I6" s="30">
        <v>3</v>
      </c>
      <c r="J6" s="31">
        <v>46164</v>
      </c>
      <c r="K6" s="38" t="s">
        <v>19</v>
      </c>
      <c r="L6" s="40" t="s">
        <v>20</v>
      </c>
      <c r="M6" s="39" t="s">
        <v>38</v>
      </c>
      <c r="N6" s="30" t="s">
        <v>18</v>
      </c>
      <c r="O6" s="30" t="s">
        <v>35</v>
      </c>
    </row>
    <row r="7" spans="1:26" ht="103.5" customHeight="1" x14ac:dyDescent="0.2">
      <c r="B7" s="32"/>
      <c r="C7" s="30"/>
      <c r="D7" s="30"/>
      <c r="E7" s="30"/>
      <c r="F7" s="40"/>
      <c r="G7" s="30"/>
      <c r="H7" s="30"/>
      <c r="I7" s="30"/>
      <c r="J7" s="46"/>
      <c r="K7" s="30"/>
      <c r="L7" s="30"/>
      <c r="M7" s="30"/>
      <c r="N7" s="30"/>
      <c r="O7" s="30"/>
    </row>
    <row r="8" spans="1:26" ht="99.75" customHeight="1" x14ac:dyDescent="0.2">
      <c r="A8" s="7"/>
      <c r="B8" s="32"/>
      <c r="C8" s="34"/>
      <c r="D8" s="33"/>
      <c r="E8" s="33"/>
      <c r="F8" s="33"/>
      <c r="G8" s="33"/>
      <c r="H8" s="33"/>
      <c r="I8" s="33"/>
      <c r="J8" s="47"/>
      <c r="K8" s="30"/>
      <c r="L8" s="30"/>
      <c r="M8" s="33"/>
      <c r="N8" s="35"/>
      <c r="O8" s="33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78" customHeight="1" x14ac:dyDescent="0.2">
      <c r="B9" s="32"/>
      <c r="C9" s="35"/>
      <c r="D9" s="35"/>
      <c r="E9" s="35"/>
      <c r="F9" s="36"/>
      <c r="G9" s="35"/>
      <c r="H9" s="35"/>
      <c r="I9" s="35"/>
      <c r="J9" s="47"/>
      <c r="K9" s="30"/>
      <c r="L9" s="30"/>
      <c r="M9" s="35"/>
      <c r="N9" s="35"/>
      <c r="O9" s="35"/>
    </row>
    <row r="10" spans="1:26" ht="78" customHeight="1" x14ac:dyDescent="0.2">
      <c r="B10" s="32"/>
      <c r="C10" s="35"/>
      <c r="D10" s="35"/>
      <c r="E10" s="35"/>
      <c r="F10" s="41"/>
      <c r="G10" s="35"/>
      <c r="H10" s="35"/>
      <c r="I10" s="35"/>
      <c r="J10" s="45"/>
      <c r="K10" s="30"/>
      <c r="L10" s="30"/>
      <c r="M10" s="35"/>
      <c r="N10" s="35"/>
      <c r="O10" s="35"/>
    </row>
    <row r="11" spans="1:26" ht="66" customHeight="1" x14ac:dyDescent="0.2">
      <c r="B11" s="32"/>
      <c r="C11" s="35"/>
      <c r="D11" s="35"/>
      <c r="E11" s="35"/>
      <c r="F11" s="36"/>
      <c r="G11" s="35"/>
      <c r="H11" s="35"/>
      <c r="I11" s="35"/>
      <c r="J11" s="47"/>
      <c r="K11" s="30"/>
      <c r="L11" s="35"/>
      <c r="M11" s="35"/>
      <c r="N11" s="35"/>
      <c r="O11" s="35"/>
      <c r="P11" s="48"/>
    </row>
    <row r="12" spans="1:26" ht="99.75" customHeight="1" x14ac:dyDescent="0.2">
      <c r="B12" s="49"/>
      <c r="C12" s="40"/>
      <c r="D12" s="40"/>
      <c r="E12" s="40"/>
      <c r="F12" s="40"/>
      <c r="G12" s="40"/>
      <c r="H12" s="40"/>
      <c r="I12" s="40"/>
      <c r="J12" s="44"/>
      <c r="K12" s="30"/>
      <c r="L12" s="40"/>
      <c r="M12" s="40"/>
      <c r="N12" s="40"/>
      <c r="O12" s="40"/>
    </row>
    <row r="13" spans="1:26" ht="72" customHeight="1" x14ac:dyDescent="0.2">
      <c r="B13" s="50"/>
    </row>
    <row r="14" spans="1:26" ht="65.25" customHeight="1" x14ac:dyDescent="0.2">
      <c r="I14" s="1"/>
      <c r="J14" s="1"/>
      <c r="K14" s="9"/>
      <c r="L14" s="3"/>
    </row>
    <row r="15" spans="1:26" ht="64.5" customHeight="1" x14ac:dyDescent="0.2">
      <c r="I15" s="1"/>
      <c r="J15" s="1"/>
      <c r="K15" s="9"/>
      <c r="L15" s="3"/>
    </row>
    <row r="16" spans="1:26" ht="39.75" customHeight="1" x14ac:dyDescent="0.25">
      <c r="I16" s="1"/>
      <c r="J16" s="1"/>
      <c r="K16" s="2"/>
      <c r="L16" s="3"/>
    </row>
    <row r="17" spans="9:13" ht="39.75" customHeight="1" x14ac:dyDescent="0.25">
      <c r="I17" s="1"/>
      <c r="J17" s="1"/>
      <c r="K17" s="2"/>
      <c r="L17" s="3"/>
    </row>
    <row r="18" spans="9:13" ht="39.75" customHeight="1" x14ac:dyDescent="0.25">
      <c r="I18" s="1"/>
      <c r="J18" s="1"/>
      <c r="K18" s="2"/>
      <c r="L18" s="3"/>
    </row>
    <row r="19" spans="9:13" ht="19.5" customHeight="1" x14ac:dyDescent="0.25">
      <c r="I19" s="1"/>
      <c r="J19" s="1"/>
      <c r="K19" s="42" t="s">
        <v>19</v>
      </c>
      <c r="L19" s="43" t="s">
        <v>20</v>
      </c>
      <c r="M19" s="4"/>
    </row>
    <row r="20" spans="9:13" ht="19.5" customHeight="1" x14ac:dyDescent="0.25">
      <c r="I20" s="1"/>
      <c r="J20" s="1"/>
      <c r="K20" s="42" t="s">
        <v>16</v>
      </c>
      <c r="L20" s="43" t="s">
        <v>21</v>
      </c>
      <c r="M20" s="4"/>
    </row>
    <row r="21" spans="9:13" ht="19.5" customHeight="1" x14ac:dyDescent="0.25">
      <c r="I21" s="1"/>
      <c r="J21" s="1"/>
      <c r="K21" s="42" t="s">
        <v>22</v>
      </c>
      <c r="L21" s="43" t="s">
        <v>17</v>
      </c>
      <c r="M21" s="4"/>
    </row>
    <row r="22" spans="9:13" ht="19.5" customHeight="1" x14ac:dyDescent="0.25">
      <c r="I22" s="1"/>
      <c r="J22" s="1"/>
      <c r="K22" s="42"/>
      <c r="L22" s="43" t="s">
        <v>23</v>
      </c>
      <c r="M22" s="4"/>
    </row>
    <row r="23" spans="9:13" ht="19.5" customHeight="1" x14ac:dyDescent="0.25">
      <c r="I23" s="1"/>
      <c r="J23" s="1"/>
      <c r="K23" s="2"/>
      <c r="L23" s="3"/>
    </row>
    <row r="24" spans="9:13" ht="19.5" customHeight="1" x14ac:dyDescent="0.25">
      <c r="I24" s="1"/>
      <c r="J24" s="1"/>
      <c r="K24" s="2"/>
      <c r="L24" s="3"/>
    </row>
    <row r="25" spans="9:13" ht="19.5" customHeight="1" x14ac:dyDescent="0.25">
      <c r="I25" s="1"/>
      <c r="J25" s="1"/>
      <c r="K25" s="2"/>
      <c r="L25" s="3"/>
    </row>
    <row r="26" spans="9:13" ht="19.5" customHeight="1" x14ac:dyDescent="0.25">
      <c r="I26" s="1"/>
      <c r="J26" s="1"/>
      <c r="K26" s="2"/>
      <c r="L26" s="3"/>
    </row>
    <row r="27" spans="9:13" ht="19.5" customHeight="1" x14ac:dyDescent="0.25">
      <c r="I27" s="1"/>
      <c r="J27" s="1"/>
      <c r="K27" s="2"/>
      <c r="L27" s="3"/>
    </row>
    <row r="28" spans="9:13" ht="19.5" customHeight="1" x14ac:dyDescent="0.25">
      <c r="I28" s="1"/>
      <c r="J28" s="1"/>
      <c r="K28" s="2"/>
      <c r="L28" s="3"/>
    </row>
    <row r="29" spans="9:13" ht="19.5" customHeight="1" x14ac:dyDescent="0.25">
      <c r="I29" s="1"/>
      <c r="J29" s="1"/>
      <c r="K29" s="2"/>
      <c r="L29" s="3"/>
    </row>
    <row r="30" spans="9:13" ht="19.5" customHeight="1" x14ac:dyDescent="0.25">
      <c r="I30" s="1"/>
      <c r="J30" s="1"/>
      <c r="K30" s="2"/>
      <c r="L30" s="3"/>
    </row>
    <row r="31" spans="9:13" ht="19.5" customHeight="1" x14ac:dyDescent="0.25">
      <c r="I31" s="1"/>
      <c r="J31" s="1"/>
      <c r="K31" s="2"/>
      <c r="L31" s="3"/>
    </row>
    <row r="32" spans="9:13" ht="19.5" customHeight="1" x14ac:dyDescent="0.25">
      <c r="I32" s="1"/>
      <c r="J32" s="1"/>
      <c r="K32" s="2"/>
      <c r="L32" s="3"/>
    </row>
    <row r="33" spans="9:12" ht="19.5" customHeight="1" x14ac:dyDescent="0.25">
      <c r="I33" s="1"/>
      <c r="J33" s="1"/>
      <c r="K33" s="2"/>
      <c r="L33" s="3"/>
    </row>
    <row r="34" spans="9:12" ht="15.75" customHeight="1" x14ac:dyDescent="0.25">
      <c r="I34" s="1"/>
      <c r="J34" s="1"/>
      <c r="K34" s="2"/>
      <c r="L34" s="3"/>
    </row>
    <row r="35" spans="9:12" ht="15.75" customHeight="1" x14ac:dyDescent="0.25">
      <c r="I35" s="1"/>
      <c r="J35" s="1"/>
      <c r="K35" s="2"/>
      <c r="L35" s="3"/>
    </row>
    <row r="36" spans="9:12" ht="15.75" customHeight="1" x14ac:dyDescent="0.25">
      <c r="I36" s="1"/>
      <c r="J36" s="1"/>
      <c r="K36" s="2"/>
      <c r="L36" s="3"/>
    </row>
    <row r="37" spans="9:12" ht="15.75" customHeight="1" x14ac:dyDescent="0.25">
      <c r="I37" s="1"/>
      <c r="J37" s="1"/>
      <c r="K37" s="2"/>
      <c r="L37" s="3"/>
    </row>
    <row r="38" spans="9:12" ht="15.75" customHeight="1" x14ac:dyDescent="0.25">
      <c r="I38" s="1"/>
      <c r="J38" s="1"/>
      <c r="K38" s="2"/>
      <c r="L38" s="3"/>
    </row>
    <row r="39" spans="9:12" ht="15.75" customHeight="1" x14ac:dyDescent="0.25">
      <c r="I39" s="1"/>
      <c r="J39" s="1"/>
      <c r="K39" s="2"/>
      <c r="L39" s="3"/>
    </row>
    <row r="40" spans="9:12" ht="15.75" customHeight="1" x14ac:dyDescent="0.25">
      <c r="I40" s="1"/>
      <c r="J40" s="1"/>
      <c r="K40" s="2"/>
      <c r="L40" s="3"/>
    </row>
    <row r="41" spans="9:12" ht="15.75" customHeight="1" x14ac:dyDescent="0.25">
      <c r="I41" s="1"/>
      <c r="J41" s="1"/>
      <c r="K41" s="2"/>
      <c r="L41" s="3"/>
    </row>
    <row r="42" spans="9:12" ht="15.75" customHeight="1" x14ac:dyDescent="0.25">
      <c r="I42" s="1"/>
      <c r="J42" s="1"/>
      <c r="K42" s="2"/>
      <c r="L42" s="3"/>
    </row>
    <row r="43" spans="9:12" ht="15.75" customHeight="1" x14ac:dyDescent="0.25">
      <c r="I43" s="1"/>
      <c r="J43" s="1"/>
      <c r="K43" s="2"/>
      <c r="L43" s="3"/>
    </row>
    <row r="44" spans="9:12" ht="15.75" customHeight="1" x14ac:dyDescent="0.25">
      <c r="I44" s="1"/>
      <c r="J44" s="1"/>
      <c r="K44" s="2"/>
      <c r="L44" s="3"/>
    </row>
    <row r="45" spans="9:12" ht="15.75" customHeight="1" x14ac:dyDescent="0.25">
      <c r="I45" s="1"/>
      <c r="J45" s="1"/>
      <c r="K45" s="2"/>
      <c r="L45" s="3"/>
    </row>
    <row r="46" spans="9:12" ht="15.75" customHeight="1" x14ac:dyDescent="0.25">
      <c r="I46" s="1"/>
      <c r="J46" s="1"/>
      <c r="K46" s="2"/>
      <c r="L46" s="3"/>
    </row>
    <row r="47" spans="9:12" ht="15.75" customHeight="1" x14ac:dyDescent="0.25">
      <c r="I47" s="1"/>
      <c r="J47" s="1"/>
      <c r="K47" s="2"/>
      <c r="L47" s="3"/>
    </row>
    <row r="48" spans="9:12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5">
      <c r="I988" s="1"/>
      <c r="J988" s="1"/>
      <c r="K988" s="2"/>
      <c r="L988" s="3"/>
    </row>
    <row r="989" spans="9:12" ht="15.75" customHeight="1" x14ac:dyDescent="0.2">
      <c r="I989" s="3"/>
      <c r="J989" s="3"/>
      <c r="K989" s="8"/>
      <c r="L989" s="3"/>
    </row>
    <row r="990" spans="9:12" ht="15.75" customHeight="1" x14ac:dyDescent="0.2">
      <c r="I990" s="3"/>
      <c r="J990" s="3"/>
      <c r="K990" s="8"/>
      <c r="L990" s="3"/>
    </row>
    <row r="991" spans="9:12" ht="15.75" customHeight="1" x14ac:dyDescent="0.2"/>
    <row r="992" spans="9:1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B3:O3"/>
  </mergeCells>
  <phoneticPr fontId="13" type="noConversion"/>
  <dataValidations count="2">
    <dataValidation type="list" allowBlank="1" showErrorMessage="1" sqref="L6:L12" xr:uid="{00000000-0002-0000-0000-000000000000}">
      <formula1>$L$19:$L$22</formula1>
    </dataValidation>
    <dataValidation type="list" allowBlank="1" showErrorMessage="1" sqref="K6:K12" xr:uid="{00000000-0002-0000-0000-000001000000}">
      <formula1>$K$19:$K$21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zoomScale="70" zoomScaleNormal="70" workbookViewId="0">
      <selection activeCell="E13" sqref="E13:F13"/>
    </sheetView>
  </sheetViews>
  <sheetFormatPr baseColWidth="10" defaultColWidth="12.625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  <col min="17" max="26" width="9.2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10"/>
      <c r="D4" s="10"/>
      <c r="E4" s="10"/>
      <c r="F4" s="4"/>
    </row>
    <row r="5" spans="2:16" hidden="1" x14ac:dyDescent="0.25">
      <c r="C5" s="10"/>
      <c r="D5" s="10"/>
      <c r="E5" s="10"/>
      <c r="F5" s="4"/>
    </row>
    <row r="6" spans="2:16" ht="39.75" customHeight="1" x14ac:dyDescent="0.2">
      <c r="B6" s="67" t="s">
        <v>24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9"/>
    </row>
    <row r="7" spans="2:16" ht="9.75" customHeight="1" x14ac:dyDescent="0.2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6" ht="9.75" customHeight="1" x14ac:dyDescent="0.25">
      <c r="B8" s="23"/>
      <c r="C8" s="24"/>
      <c r="D8" s="24"/>
      <c r="E8" s="24"/>
      <c r="F8" s="25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2:16" ht="30" customHeight="1" x14ac:dyDescent="0.2">
      <c r="B9" s="28"/>
      <c r="C9" s="12" t="s">
        <v>1</v>
      </c>
      <c r="D9" s="13"/>
      <c r="E9" s="70" t="s">
        <v>25</v>
      </c>
      <c r="F9" s="69"/>
      <c r="G9" s="13"/>
      <c r="H9" s="70" t="s">
        <v>11</v>
      </c>
      <c r="I9" s="69"/>
      <c r="J9" s="14"/>
      <c r="K9" s="14"/>
      <c r="L9" s="14"/>
      <c r="M9" s="14"/>
      <c r="N9" s="14"/>
      <c r="O9" s="14"/>
      <c r="P9" s="29"/>
    </row>
    <row r="10" spans="2:16" ht="30" customHeight="1" x14ac:dyDescent="0.2">
      <c r="B10" s="28"/>
      <c r="C10" s="15" t="s">
        <v>15</v>
      </c>
      <c r="D10" s="16"/>
      <c r="E10" s="71" t="str">
        <f>VLOOKUP(C10,'Formato descripción HU'!B6:O15,5,0)</f>
        <v>Srta. Odalys Molina</v>
      </c>
      <c r="F10" s="69"/>
      <c r="G10" s="17"/>
      <c r="H10" s="71" t="str">
        <f>VLOOKUP(C10,'Formato descripción HU'!B6:O15,11,0)</f>
        <v>No iniciado</v>
      </c>
      <c r="I10" s="69"/>
      <c r="J10" s="17"/>
      <c r="K10" s="14"/>
      <c r="L10" s="14"/>
      <c r="M10" s="14"/>
      <c r="N10" s="14"/>
      <c r="O10" s="14"/>
      <c r="P10" s="29"/>
    </row>
    <row r="11" spans="2:16" ht="9.75" customHeight="1" x14ac:dyDescent="0.2">
      <c r="B11" s="28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4"/>
      <c r="N11" s="19"/>
      <c r="O11" s="19"/>
      <c r="P11" s="29"/>
    </row>
    <row r="12" spans="2:16" ht="30" customHeight="1" x14ac:dyDescent="0.2">
      <c r="B12" s="28"/>
      <c r="C12" s="12" t="s">
        <v>26</v>
      </c>
      <c r="D12" s="16"/>
      <c r="E12" s="70" t="s">
        <v>10</v>
      </c>
      <c r="F12" s="69"/>
      <c r="G12" s="17"/>
      <c r="H12" s="70" t="s">
        <v>27</v>
      </c>
      <c r="I12" s="69"/>
      <c r="J12" s="17"/>
      <c r="K12" s="19"/>
      <c r="L12" s="19"/>
      <c r="M12" s="14"/>
      <c r="N12" s="19"/>
      <c r="O12" s="19"/>
      <c r="P12" s="29"/>
    </row>
    <row r="13" spans="2:16" ht="30" customHeight="1" x14ac:dyDescent="0.2">
      <c r="B13" s="28"/>
      <c r="C13" s="15">
        <f>VLOOKUP('Historia de Usuario'!C10,'Formato descripción HU'!B6:O15,8,0)</f>
        <v>3</v>
      </c>
      <c r="D13" s="16"/>
      <c r="E13" s="71" t="str">
        <f>VLOOKUP(C10,'Formato descripción HU'!B6:O15,10,0)</f>
        <v>Alta</v>
      </c>
      <c r="F13" s="69"/>
      <c r="G13" s="17"/>
      <c r="H13" s="71" t="str">
        <f>VLOOKUP(C10,'Formato descripción HU'!B6:O15,7,0)</f>
        <v xml:space="preserve">Erik Peña, Francisco Freire </v>
      </c>
      <c r="I13" s="69"/>
      <c r="J13" s="17"/>
      <c r="K13" s="19"/>
      <c r="L13" s="19"/>
      <c r="M13" s="14"/>
      <c r="N13" s="19"/>
      <c r="O13" s="19"/>
      <c r="P13" s="29"/>
    </row>
    <row r="14" spans="2:16" ht="9.75" customHeight="1" x14ac:dyDescent="0.2">
      <c r="B14" s="28"/>
      <c r="C14" s="14"/>
      <c r="D14" s="16"/>
      <c r="E14" s="14"/>
      <c r="F14" s="14"/>
      <c r="G14" s="17"/>
      <c r="H14" s="17"/>
      <c r="I14" s="14"/>
      <c r="J14" s="14"/>
      <c r="K14" s="14"/>
      <c r="L14" s="14"/>
      <c r="M14" s="14"/>
      <c r="N14" s="14"/>
      <c r="O14" s="14"/>
      <c r="P14" s="29"/>
    </row>
    <row r="15" spans="2:16" ht="19.5" customHeight="1" x14ac:dyDescent="0.2">
      <c r="B15" s="28"/>
      <c r="C15" s="53" t="s">
        <v>28</v>
      </c>
      <c r="D15" s="72" t="str">
        <f>VLOOKUP(C10,'Formato descripción HU'!B6:O15,3,0)</f>
        <v>El sistema permite al usuario activar una alarma para localizar la llave fisica</v>
      </c>
      <c r="E15" s="57"/>
      <c r="F15" s="14"/>
      <c r="G15" s="53" t="s">
        <v>29</v>
      </c>
      <c r="H15" s="72" t="str">
        <f>VLOOKUP(C10,'Formato descripción HU'!B6:O15,4,0)</f>
        <v>Para que el usuario pueda encontrar la llave fisica.</v>
      </c>
      <c r="I15" s="64"/>
      <c r="J15" s="57"/>
      <c r="K15" s="14"/>
      <c r="L15" s="53" t="s">
        <v>30</v>
      </c>
      <c r="M15" s="63" t="str">
        <f>VLOOKUP(C10,'Formato descripción HU'!B6:O15,6,0)</f>
        <v>1.-Desarrollo del programa para activar la alarma mediante señal o botón.
2.-Emisión de sonido por el arduino para indicar la ubicación de la llave.</v>
      </c>
      <c r="N15" s="64"/>
      <c r="O15" s="57"/>
      <c r="P15" s="29"/>
    </row>
    <row r="16" spans="2:16" ht="19.5" customHeight="1" x14ac:dyDescent="0.2">
      <c r="B16" s="28"/>
      <c r="C16" s="54"/>
      <c r="D16" s="61"/>
      <c r="E16" s="62"/>
      <c r="F16" s="14"/>
      <c r="G16" s="54"/>
      <c r="H16" s="61"/>
      <c r="I16" s="65"/>
      <c r="J16" s="62"/>
      <c r="K16" s="14"/>
      <c r="L16" s="54"/>
      <c r="M16" s="61"/>
      <c r="N16" s="65"/>
      <c r="O16" s="62"/>
      <c r="P16" s="29"/>
    </row>
    <row r="17" spans="2:16" ht="19.5" customHeight="1" x14ac:dyDescent="0.2">
      <c r="B17" s="28"/>
      <c r="C17" s="55"/>
      <c r="D17" s="58"/>
      <c r="E17" s="59"/>
      <c r="F17" s="14"/>
      <c r="G17" s="55"/>
      <c r="H17" s="58"/>
      <c r="I17" s="66"/>
      <c r="J17" s="59"/>
      <c r="K17" s="14"/>
      <c r="L17" s="55"/>
      <c r="M17" s="58"/>
      <c r="N17" s="66"/>
      <c r="O17" s="59"/>
      <c r="P17" s="29"/>
    </row>
    <row r="18" spans="2:16" ht="9.75" customHeight="1" x14ac:dyDescent="0.2">
      <c r="B18" s="28"/>
      <c r="C18" s="14"/>
      <c r="D18" s="14"/>
      <c r="E18" s="14"/>
      <c r="F18" s="14"/>
      <c r="G18" s="17"/>
      <c r="H18" s="17"/>
      <c r="I18" s="17"/>
      <c r="J18" s="14"/>
      <c r="K18" s="14"/>
      <c r="L18" s="14"/>
      <c r="M18" s="14"/>
      <c r="N18" s="14"/>
      <c r="O18" s="14"/>
      <c r="P18" s="29"/>
    </row>
    <row r="19" spans="2:16" ht="19.5" customHeight="1" x14ac:dyDescent="0.2">
      <c r="B19" s="28"/>
      <c r="C19" s="56" t="s">
        <v>31</v>
      </c>
      <c r="D19" s="57"/>
      <c r="E19" s="73" t="str">
        <f>VLOOKUP(C10,'Formato descripción HU'!B6:O15,14,0)</f>
        <v xml:space="preserve">Activacion de Alarma </v>
      </c>
      <c r="F19" s="74"/>
      <c r="G19" s="74"/>
      <c r="H19" s="74"/>
      <c r="I19" s="74"/>
      <c r="J19" s="74"/>
      <c r="K19" s="74"/>
      <c r="L19" s="74"/>
      <c r="M19" s="74"/>
      <c r="N19" s="74"/>
      <c r="O19" s="75"/>
      <c r="P19" s="29"/>
    </row>
    <row r="20" spans="2:16" ht="19.5" customHeight="1" x14ac:dyDescent="0.2">
      <c r="B20" s="28"/>
      <c r="C20" s="58"/>
      <c r="D20" s="59"/>
      <c r="E20" s="76"/>
      <c r="F20" s="77"/>
      <c r="G20" s="77"/>
      <c r="H20" s="77"/>
      <c r="I20" s="77"/>
      <c r="J20" s="77"/>
      <c r="K20" s="77"/>
      <c r="L20" s="77"/>
      <c r="M20" s="77"/>
      <c r="N20" s="77"/>
      <c r="O20" s="78"/>
      <c r="P20" s="29"/>
    </row>
    <row r="21" spans="2:16" ht="9.75" customHeight="1" x14ac:dyDescent="0.2">
      <c r="B21" s="28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29"/>
    </row>
    <row r="22" spans="2:16" ht="19.5" customHeight="1" x14ac:dyDescent="0.2">
      <c r="B22" s="28"/>
      <c r="C22" s="60" t="s">
        <v>32</v>
      </c>
      <c r="D22" s="57"/>
      <c r="E22" s="63" t="str">
        <f>VLOOKUP(C10,'Formato descripción HU'!B6:O15,12,0)</f>
        <v>Prueba con Arduino conectado a la llave, verificando la emisión de sonido y la correcta activación del dispositivo.</v>
      </c>
      <c r="F22" s="64"/>
      <c r="G22" s="64"/>
      <c r="H22" s="57"/>
      <c r="I22" s="14"/>
      <c r="J22" s="60" t="s">
        <v>13</v>
      </c>
      <c r="K22" s="57"/>
      <c r="L22" s="63" t="str">
        <f>VLOOKUP(C10,'Formato descripción HU'!B6:O15,13,0)</f>
        <v>-</v>
      </c>
      <c r="M22" s="64"/>
      <c r="N22" s="64"/>
      <c r="O22" s="57"/>
      <c r="P22" s="29"/>
    </row>
    <row r="23" spans="2:16" ht="19.5" customHeight="1" x14ac:dyDescent="0.2">
      <c r="B23" s="28"/>
      <c r="C23" s="61"/>
      <c r="D23" s="62"/>
      <c r="E23" s="61"/>
      <c r="F23" s="65"/>
      <c r="G23" s="65"/>
      <c r="H23" s="62"/>
      <c r="I23" s="14"/>
      <c r="J23" s="61"/>
      <c r="K23" s="62"/>
      <c r="L23" s="61"/>
      <c r="M23" s="65"/>
      <c r="N23" s="65"/>
      <c r="O23" s="62"/>
      <c r="P23" s="29"/>
    </row>
    <row r="24" spans="2:16" ht="19.5" customHeight="1" x14ac:dyDescent="0.2">
      <c r="B24" s="28"/>
      <c r="C24" s="58"/>
      <c r="D24" s="59"/>
      <c r="E24" s="58"/>
      <c r="F24" s="66"/>
      <c r="G24" s="66"/>
      <c r="H24" s="59"/>
      <c r="I24" s="14"/>
      <c r="J24" s="58"/>
      <c r="K24" s="59"/>
      <c r="L24" s="58"/>
      <c r="M24" s="66"/>
      <c r="N24" s="66"/>
      <c r="O24" s="59"/>
      <c r="P24" s="29"/>
    </row>
    <row r="25" spans="2:16" ht="9.75" customHeight="1" x14ac:dyDescent="0.2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HU'!$B$6:$B$12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G303</cp:lastModifiedBy>
  <cp:revision/>
  <dcterms:created xsi:type="dcterms:W3CDTF">2019-10-21T15:37:14Z</dcterms:created>
  <dcterms:modified xsi:type="dcterms:W3CDTF">2026-05-18T17:23:59Z</dcterms:modified>
  <cp:category/>
  <cp:contentStatus/>
</cp:coreProperties>
</file>