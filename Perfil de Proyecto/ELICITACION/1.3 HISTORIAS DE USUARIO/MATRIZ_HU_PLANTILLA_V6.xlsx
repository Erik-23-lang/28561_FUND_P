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TIL\Downloads\"/>
    </mc:Choice>
  </mc:AlternateContent>
  <bookViews>
    <workbookView xWindow="0" yWindow="0" windowWidth="20490" windowHeight="6930"/>
  </bookViews>
  <sheets>
    <sheet name="Formato descripción HU" sheetId="1" r:id="rId1"/>
    <sheet name="Historia de Usuari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<sst xmlns="http://schemas.openxmlformats.org/spreadsheetml/2006/main" count="114" uniqueCount="77">
  <si>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</si>
  <si>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</si>
  <si>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</si>
  <si>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</si>
  <si>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</si>
  <si>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</si>
  <si>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</si>
  <si>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</si>
  <si>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</si>
  <si>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</si>
  <si>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</si>
  <si>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</si>
  <si>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</si>
  <si>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</si>
  <si>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</si>
  <si>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</si>
  <si>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</si>
  <si>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</si>
  <si>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-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</si>
  <si>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</si>
  <si>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</si>
  <si>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</si>
  <si>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</si>
  <si>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</si>
  <si>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</si>
  <si>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</si>
  <si>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</si>
  <si>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</si>
  <si>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</si>
  <si>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</si>
  <si>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</si>
  <si>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</si>
  <si>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</si>
  <si>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Erik Peña</t>
  </si>
  <si>
    <t>Recordatorio de última ubicación de la llave</t>
  </si>
  <si>
    <t>REQ002</t>
  </si>
  <si>
    <t>Dificultad para la localización de la llave física del departamento o local cuando esta se encuentra fuera del campo visual del usuario</t>
  </si>
  <si>
    <t>Francisco Freire</t>
  </si>
  <si>
    <t>REQ003</t>
  </si>
  <si>
    <t>REQ004</t>
  </si>
  <si>
    <t>Menu Principal.</t>
  </si>
  <si>
    <t>Registro de Busqueda</t>
  </si>
  <si>
    <t>Ejecución del código en el IDE Code::Blocks, verificando el funcionamiento correcto en consola de las opciones presentadas.</t>
  </si>
  <si>
    <t>Ejecución del código en el IDE Code::Blocks, verificando el funcionamiento de la consulta de la última ubicación.</t>
  </si>
  <si>
    <t>Para que el usuario seleccione la opción que va a usar en el  momento oportuno.</t>
  </si>
  <si>
    <t>Ejecutar el programa en el IDE Code::Blocks desde la PC y usar el Arduino wokwi para activar la alarma, y comprobar que el zumbador suene en pantalla.</t>
  </si>
  <si>
    <t>Tatiana Jama</t>
  </si>
  <si>
    <t>El programa deberá mostrar un menu por consola con tres opciones</t>
  </si>
  <si>
    <t>El programa deberá ayuda al usuario a recordar el ultimo lugar donde vio o dejo la llave.</t>
  </si>
  <si>
    <r>
      <t xml:space="preserve">1.-Desarrollar las opciones que se mostraran por consola.                         </t>
    </r>
    <r>
      <rPr>
        <b/>
        <sz val="10"/>
        <color theme="1"/>
        <rFont val="Calibri"/>
        <family val="2"/>
      </rPr>
      <t>Recordatorio de llaves            Alerta sonora                           Salida                                               2</t>
    </r>
    <r>
      <rPr>
        <sz val="10"/>
        <color theme="1"/>
        <rFont val="Calibri"/>
        <family val="2"/>
      </rPr>
      <t>.-Hacer que el programa responda correctamente cuando el usuario elija una opcion.</t>
    </r>
  </si>
  <si>
    <t>Para darle al usuario una pista clara de por donde empezar a buscar.</t>
  </si>
  <si>
    <t xml:space="preserve">1. Diseñar el cuestionario que el programa mostrara al usuario.
2. Programar las opciones de respuesta para que el sistema sugiera lugares.
</t>
  </si>
  <si>
    <t>El programa deberá tener una opcion para hacer que se escuche un sonido de alarma.</t>
  </si>
  <si>
    <t>Para que el usuario pueda encontrar la llave guiandose del ruido.</t>
  </si>
  <si>
    <t>1.-Desarrollar el programa para activar la alarma mediante una señal o botón.
2.-Emisión de sonido por el Arduino de wokwi para indicar la ubicación de la llave.</t>
  </si>
  <si>
    <t>Alerta Sonora</t>
  </si>
  <si>
    <t>El programa debera guardar las preguntas y búsquedas que haga el usuario.</t>
  </si>
  <si>
    <t>Para poder llevar una lista con todo lo que el usuario haya buscado antes.</t>
  </si>
  <si>
    <t>Historial de busqueda</t>
  </si>
  <si>
    <t>REQ005</t>
  </si>
  <si>
    <t>REQ006</t>
  </si>
  <si>
    <t>REQ007</t>
  </si>
  <si>
    <t>Extraccion de Busqueda</t>
  </si>
  <si>
    <t>Finalizacion de busqueda</t>
  </si>
  <si>
    <t>El programa debera registrar la fecha cada vez que el usuario ingreseal sistema.</t>
  </si>
  <si>
    <t>Para saber qué días se usó la aplicación para buscar la llave.</t>
  </si>
  <si>
    <t>1.-Hacer que el sistema guarde los datos de cada búsqueda automáticamente.
2.-Revisar que la información se quede guardada en su carpeta.</t>
  </si>
  <si>
    <t>1.-Hacer que el sistema guarde el día de forma automática al abrirse.
2.-Revisar que el dato se quede bien guardado en su carpeta.</t>
  </si>
  <si>
    <t>Ejecutar el código en el IDE Code::Blocks y ver que el archivo con la fecha guardada aparezca en su carpeta.</t>
  </si>
  <si>
    <t>Ejecutar el código en el IDE Code::Blocks y comprobar que las búsquedas se muestren en la pantalla.</t>
  </si>
  <si>
    <t>El programa deberá permitir abrir y leer las búsquedas que ya fueron guardadas.</t>
  </si>
  <si>
    <t>Para poder revisar en la pantalla las preguntas que el usuario ya habia contestado.</t>
  </si>
  <si>
    <t>1.-Desarrollar la función en el programa para buscar y abrir el archivo de texto guardado.                                                           2.- Carga de los datos en la pantalla para mostrárselos al usuario.</t>
  </si>
  <si>
    <t>El programa deberá cerrar el archivo donde se guardan las búsquedas al terminar de usarlo.</t>
  </si>
  <si>
    <t>Para poder asegurarse que toda la información se guarde bien y el archivo no se quede abierto o se eche a perder.</t>
  </si>
  <si>
    <t>1.-Programar la orden para cerrar el archivo de texto cuando el usuario termine de usarlo.                                           2.- Verificar que se guarde automáticamente los últimos cambios antes de cerrar.</t>
  </si>
  <si>
    <t>Ejecutar el código en el IDE Code::Blocks y comprobar que el archivo se cierre correctamente y los datos queden guardados.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</si>
</sst>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 wrapText="1"/>
    </xf>
    <xf numFmtId="0" fontId="18" fillId="0" borderId="0" xfId="0" applyFont="1"/>
    <xf numFmtId="0" fontId="14" fillId="0" borderId="0" xfId="0" applyFont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5" xfId="0" applyFont="1" applyBorder="1"/>
    <xf numFmtId="0" fontId="1" fillId="5" borderId="9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4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8" fillId="0" borderId="24" xfId="0" applyFont="1" applyBorder="1" applyAlignment="1">
      <alignment wrapText="1"/>
    </xf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9" fillId="4" borderId="3" xfId="0" applyFont="1" applyFill="1" applyBorder="1" applyAlignment="1">
      <alignment horizontal="center" vertical="center"/>
    </xf>
    <xf numFmtId="0" fontId="8" fillId="0" borderId="5" xfId="0" applyFont="1" applyBorder="1"/>
    <xf numFmtId="0" fontId="1" fillId="5" borderId="3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22" xfId="0" applyFont="1" applyBorder="1"/>
    <xf numFmtId="0" fontId="8" fillId="0" borderId="24" xfId="0" applyFont="1" applyBorder="1"/>
    <xf numFmtId="0" fontId="9" fillId="4" borderId="9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14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/>
    <xf numFmtId="0" fontId="0" fillId="0" borderId="0" xfId="0"/>
    <xf numFmtId="0" fontId="8" fillId="0" borderId="23" xfId="0" applyFont="1" applyBorder="1"/>
    <xf numFmtId="0" fontId="15" fillId="0" borderId="26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8" fillId="0" borderId="0" xfId="0" applyFont="1" applyAlignment="1">
      <alignment wrapText="1"/>
    </xf>
    <xf numFmtId="0" fontId="18" fillId="0" borderId="7" xfId="0" applyFont="1" applyBorder="1"/>
    <xf numFmtId="0" fontId="15" fillId="0" borderId="31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17/10/relationships/person" Target="persons/person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9"/>
  <sheetViews>
    <sheetView showGridLines="0" tabSelected="1" topLeftCell="A10" zoomScale="70" zoomScaleNormal="70" workbookViewId="0">
      <selection activeCell="M12" sqref="M12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2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46" t="s">
        <v>0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109.5" customHeight="1" x14ac:dyDescent="0.2">
      <c r="B6" s="31" t="s">
        <v>15</v>
      </c>
      <c r="C6" s="34" t="s">
        <v>36</v>
      </c>
      <c r="D6" s="30" t="s">
        <v>47</v>
      </c>
      <c r="E6" s="30" t="s">
        <v>44</v>
      </c>
      <c r="F6" s="30" t="s">
        <v>46</v>
      </c>
      <c r="G6" s="36" t="s">
        <v>49</v>
      </c>
      <c r="H6" s="36" t="s">
        <v>37</v>
      </c>
      <c r="I6" s="30">
        <v>2</v>
      </c>
      <c r="J6" s="42">
        <v>46212</v>
      </c>
      <c r="K6" s="37" t="s">
        <v>19</v>
      </c>
      <c r="L6" s="38" t="s">
        <v>17</v>
      </c>
      <c r="M6" s="44" t="s">
        <v>42</v>
      </c>
      <c r="N6" s="30" t="s">
        <v>18</v>
      </c>
      <c r="O6" s="30" t="s">
        <v>40</v>
      </c>
    </row>
    <row r="7" spans="1:26" ht="85.5" customHeight="1" x14ac:dyDescent="0.2">
      <c r="B7" s="31" t="s">
        <v>35</v>
      </c>
      <c r="C7" s="34" t="s">
        <v>36</v>
      </c>
      <c r="D7" s="44" t="s">
        <v>48</v>
      </c>
      <c r="E7" s="44" t="s">
        <v>50</v>
      </c>
      <c r="F7" s="30" t="s">
        <v>46</v>
      </c>
      <c r="G7" s="36" t="s">
        <v>51</v>
      </c>
      <c r="H7" s="36" t="s">
        <v>33</v>
      </c>
      <c r="I7" s="30">
        <v>4</v>
      </c>
      <c r="J7" s="42">
        <v>46212</v>
      </c>
      <c r="K7" s="37" t="s">
        <v>19</v>
      </c>
      <c r="L7" s="30" t="s">
        <v>17</v>
      </c>
      <c r="M7" s="45" t="s">
        <v>43</v>
      </c>
      <c r="N7" s="30"/>
      <c r="O7" s="30" t="s">
        <v>34</v>
      </c>
    </row>
    <row r="8" spans="1:26" ht="99.75" customHeight="1" x14ac:dyDescent="0.2">
      <c r="A8" s="7"/>
      <c r="B8" s="33" t="s">
        <v>38</v>
      </c>
      <c r="C8" s="34" t="s">
        <v>36</v>
      </c>
      <c r="D8" s="36" t="s">
        <v>52</v>
      </c>
      <c r="E8" s="36" t="s">
        <v>53</v>
      </c>
      <c r="F8" s="38" t="s">
        <v>46</v>
      </c>
      <c r="G8" s="36" t="s">
        <v>54</v>
      </c>
      <c r="H8" s="30" t="s">
        <v>37</v>
      </c>
      <c r="I8" s="30">
        <v>4</v>
      </c>
      <c r="J8" s="42">
        <v>46212</v>
      </c>
      <c r="K8" s="30" t="s">
        <v>19</v>
      </c>
      <c r="L8" s="30" t="s">
        <v>21</v>
      </c>
      <c r="M8" s="30" t="s">
        <v>45</v>
      </c>
      <c r="N8" s="34"/>
      <c r="O8" s="36" t="s">
        <v>55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8" customHeight="1" x14ac:dyDescent="0.2">
      <c r="B9" s="31" t="s">
        <v>39</v>
      </c>
      <c r="C9" s="34" t="s">
        <v>36</v>
      </c>
      <c r="D9" s="35" t="s">
        <v>56</v>
      </c>
      <c r="E9" s="35" t="s">
        <v>57</v>
      </c>
      <c r="F9" s="32" t="s">
        <v>46</v>
      </c>
      <c r="G9" s="36" t="s">
        <v>66</v>
      </c>
      <c r="H9" s="32" t="s">
        <v>33</v>
      </c>
      <c r="I9" s="32">
        <v>6</v>
      </c>
      <c r="J9" s="42">
        <v>46212</v>
      </c>
      <c r="K9" s="30" t="s">
        <v>19</v>
      </c>
      <c r="L9" s="30" t="s">
        <v>17</v>
      </c>
      <c r="M9" s="35" t="s">
        <v>68</v>
      </c>
      <c r="N9" s="34"/>
      <c r="O9" s="32" t="s">
        <v>41</v>
      </c>
    </row>
    <row r="10" spans="1:26" ht="78" customHeight="1" x14ac:dyDescent="0.2">
      <c r="B10" s="82" t="s">
        <v>59</v>
      </c>
      <c r="C10" s="34" t="s">
        <v>36</v>
      </c>
      <c r="D10" s="84" t="s">
        <v>64</v>
      </c>
      <c r="E10" s="34" t="s">
        <v>65</v>
      </c>
      <c r="F10" s="39" t="s">
        <v>46</v>
      </c>
      <c r="G10" s="34" t="s">
        <v>67</v>
      </c>
      <c r="H10" s="34" t="s">
        <v>33</v>
      </c>
      <c r="I10" s="34">
        <v>6</v>
      </c>
      <c r="J10" s="42">
        <v>46212</v>
      </c>
      <c r="K10" s="30" t="s">
        <v>19</v>
      </c>
      <c r="L10" s="30" t="s">
        <v>17</v>
      </c>
      <c r="M10" s="87" t="s">
        <v>68</v>
      </c>
      <c r="N10" s="34"/>
      <c r="O10" s="34" t="s">
        <v>58</v>
      </c>
    </row>
    <row r="11" spans="1:26" ht="74.25" customHeight="1" x14ac:dyDescent="0.2">
      <c r="B11" s="82" t="s">
        <v>60</v>
      </c>
      <c r="C11" s="34" t="s">
        <v>36</v>
      </c>
      <c r="D11" s="84" t="s">
        <v>70</v>
      </c>
      <c r="E11" s="84" t="s">
        <v>71</v>
      </c>
      <c r="F11" s="35" t="s">
        <v>46</v>
      </c>
      <c r="G11" s="84" t="s">
        <v>72</v>
      </c>
      <c r="H11" s="34" t="s">
        <v>33</v>
      </c>
      <c r="I11" s="34">
        <v>6</v>
      </c>
      <c r="J11" s="42">
        <v>46212</v>
      </c>
      <c r="K11" s="30" t="s">
        <v>19</v>
      </c>
      <c r="L11" s="34" t="s">
        <v>17</v>
      </c>
      <c r="M11" s="84" t="s">
        <v>69</v>
      </c>
      <c r="N11" s="34"/>
      <c r="O11" s="34" t="s">
        <v>62</v>
      </c>
      <c r="P11" s="43"/>
    </row>
    <row r="12" spans="1:26" ht="99.75" customHeight="1" x14ac:dyDescent="0.2">
      <c r="B12" s="83" t="s">
        <v>61</v>
      </c>
      <c r="C12" s="34" t="s">
        <v>36</v>
      </c>
      <c r="D12" s="84" t="s">
        <v>73</v>
      </c>
      <c r="E12" s="84" t="s">
        <v>74</v>
      </c>
      <c r="F12" s="39" t="s">
        <v>46</v>
      </c>
      <c r="G12" s="84" t="s">
        <v>75</v>
      </c>
      <c r="H12" s="39" t="s">
        <v>33</v>
      </c>
      <c r="I12" s="38">
        <v>6</v>
      </c>
      <c r="J12" s="42">
        <v>46212</v>
      </c>
      <c r="K12" s="30" t="s">
        <v>19</v>
      </c>
      <c r="L12" s="38" t="s">
        <v>17</v>
      </c>
      <c r="M12" s="84" t="s">
        <v>76</v>
      </c>
      <c r="N12" s="38"/>
      <c r="O12" s="39" t="s">
        <v>63</v>
      </c>
    </row>
    <row r="13" spans="1:26" ht="72" customHeight="1" x14ac:dyDescent="0.2">
      <c r="B13" s="85"/>
      <c r="O13" s="86"/>
    </row>
    <row r="14" spans="1:26" ht="65.25" customHeight="1" x14ac:dyDescent="0.2">
      <c r="I14" s="1"/>
      <c r="J14" s="1"/>
      <c r="K14" s="9"/>
      <c r="L14" s="3"/>
    </row>
    <row r="15" spans="1:26" ht="64.5" customHeight="1" x14ac:dyDescent="0.2">
      <c r="I15" s="1"/>
      <c r="J15" s="1"/>
      <c r="K15" s="9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39.75" customHeight="1" x14ac:dyDescent="0.25">
      <c r="I18" s="1"/>
      <c r="J18" s="1"/>
      <c r="K18" s="2"/>
      <c r="L18" s="3"/>
    </row>
    <row r="19" spans="9:13" ht="19.5" customHeight="1" x14ac:dyDescent="0.25">
      <c r="I19" s="1"/>
      <c r="J19" s="1"/>
      <c r="K19" s="40" t="s">
        <v>19</v>
      </c>
      <c r="L19" s="41" t="s">
        <v>20</v>
      </c>
      <c r="M19" s="4"/>
    </row>
    <row r="20" spans="9:13" ht="19.5" customHeight="1" x14ac:dyDescent="0.25">
      <c r="I20" s="1"/>
      <c r="J20" s="1"/>
      <c r="K20" s="40" t="s">
        <v>16</v>
      </c>
      <c r="L20" s="41" t="s">
        <v>21</v>
      </c>
      <c r="M20" s="4"/>
    </row>
    <row r="21" spans="9:13" ht="19.5" customHeight="1" x14ac:dyDescent="0.25">
      <c r="I21" s="1"/>
      <c r="J21" s="1"/>
      <c r="K21" s="40" t="s">
        <v>22</v>
      </c>
      <c r="L21" s="41" t="s">
        <v>17</v>
      </c>
      <c r="M21" s="4"/>
    </row>
    <row r="22" spans="9:13" ht="19.5" customHeight="1" x14ac:dyDescent="0.25">
      <c r="I22" s="1"/>
      <c r="J22" s="1"/>
      <c r="K22" s="40"/>
      <c r="L22" s="41" t="s">
        <v>23</v>
      </c>
      <c r="M22" s="4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9.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5">
      <c r="I988" s="1"/>
      <c r="J988" s="1"/>
      <c r="K988" s="2"/>
      <c r="L988" s="3"/>
    </row>
    <row r="989" spans="9:12" ht="15.75" customHeight="1" x14ac:dyDescent="0.2">
      <c r="I989" s="3"/>
      <c r="J989" s="3"/>
      <c r="K989" s="8"/>
      <c r="L989" s="3"/>
    </row>
    <row r="990" spans="9:12" ht="15.75" customHeight="1" x14ac:dyDescent="0.2">
      <c r="I990" s="3"/>
      <c r="J990" s="3"/>
      <c r="K990" s="8"/>
      <c r="L990" s="3"/>
    </row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B3:O3"/>
  </mergeCells>
  <phoneticPr fontId="13" type="noConversion"/>
  <dataValidations count="2">
    <dataValidation type="list" allowBlank="1" showErrorMessage="1" sqref="L6:L12">
      <formula1>$L$19:$L$22</formula1>
    </dataValidation>
    <dataValidation type="list" allowBlank="1" showErrorMessage="1" sqref="K6:K12">
      <formula1>$K$19:$K$21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1020"/>
  <sheetViews>
    <sheetView showGridLines="0" zoomScale="96" zoomScaleNormal="85" workbookViewId="0">
      <selection activeCell="C10" sqref="C10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10"/>
      <c r="D4" s="10"/>
      <c r="E4" s="10"/>
      <c r="F4" s="4"/>
    </row>
    <row r="5" spans="2:16" hidden="1" x14ac:dyDescent="0.25">
      <c r="C5" s="10"/>
      <c r="D5" s="10"/>
      <c r="E5" s="10"/>
      <c r="F5" s="4"/>
    </row>
    <row r="6" spans="2:16" ht="39.75" customHeight="1" x14ac:dyDescent="0.2">
      <c r="B6" s="76" t="s">
        <v>24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67"/>
    </row>
    <row r="7" spans="2:16" ht="9.75" customHeight="1" x14ac:dyDescent="0.2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25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">
      <c r="B9" s="28"/>
      <c r="C9" s="12" t="s">
        <v>1</v>
      </c>
      <c r="D9" s="13"/>
      <c r="E9" s="66" t="s">
        <v>25</v>
      </c>
      <c r="F9" s="67"/>
      <c r="G9" s="13"/>
      <c r="H9" s="66" t="s">
        <v>11</v>
      </c>
      <c r="I9" s="67"/>
      <c r="J9" s="14"/>
      <c r="K9" s="14"/>
      <c r="L9" s="14"/>
      <c r="M9" s="14"/>
      <c r="N9" s="14"/>
      <c r="O9" s="14"/>
      <c r="P9" s="29"/>
    </row>
    <row r="10" spans="2:16" ht="30" customHeight="1" x14ac:dyDescent="0.2">
      <c r="B10" s="28"/>
      <c r="C10" s="15" t="s">
        <v>39</v>
      </c>
      <c r="D10" s="16"/>
      <c r="E10" s="68" t="str">
        <f>VLOOKUP(C10,'Formato descripción HU'!B6:O15,5,0)</f>
        <v>Tatiana Jama</v>
      </c>
      <c r="F10" s="67"/>
      <c r="G10" s="17"/>
      <c r="H10" s="68" t="str">
        <f>VLOOKUP(C10,'Formato descripción HU'!B6:O15,11,0)</f>
        <v>Terminado</v>
      </c>
      <c r="I10" s="67"/>
      <c r="J10" s="17"/>
      <c r="K10" s="14"/>
      <c r="L10" s="14"/>
      <c r="M10" s="14"/>
      <c r="N10" s="14"/>
      <c r="O10" s="14"/>
      <c r="P10" s="29"/>
    </row>
    <row r="11" spans="2:16" ht="9.75" customHeight="1" x14ac:dyDescent="0.2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">
      <c r="B12" s="28"/>
      <c r="C12" s="12" t="s">
        <v>26</v>
      </c>
      <c r="D12" s="16"/>
      <c r="E12" s="66" t="s">
        <v>10</v>
      </c>
      <c r="F12" s="67"/>
      <c r="G12" s="17"/>
      <c r="H12" s="66" t="s">
        <v>27</v>
      </c>
      <c r="I12" s="67"/>
      <c r="J12" s="17"/>
      <c r="K12" s="19"/>
      <c r="L12" s="19"/>
      <c r="M12" s="14"/>
      <c r="N12" s="19"/>
      <c r="O12" s="19"/>
      <c r="P12" s="29"/>
    </row>
    <row r="13" spans="2:16" ht="30" customHeight="1" x14ac:dyDescent="0.2">
      <c r="B13" s="28"/>
      <c r="C13" s="15">
        <f>VLOOKUP('Historia de Usuario'!C10,'Formato descripción HU'!B6:O15,8,0)</f>
        <v>6</v>
      </c>
      <c r="D13" s="16"/>
      <c r="E13" s="68" t="str">
        <f>VLOOKUP(C10,'Formato descripción HU'!B6:O15,10,0)</f>
        <v>Alta</v>
      </c>
      <c r="F13" s="67"/>
      <c r="G13" s="17"/>
      <c r="H13" s="68" t="str">
        <f>VLOOKUP(C10,'Formato descripción HU'!B6:O15,7,0)</f>
        <v>Erik Peña</v>
      </c>
      <c r="I13" s="67"/>
      <c r="J13" s="17"/>
      <c r="K13" s="19"/>
      <c r="L13" s="19"/>
      <c r="M13" s="14"/>
      <c r="N13" s="19"/>
      <c r="O13" s="19"/>
      <c r="P13" s="29"/>
    </row>
    <row r="14" spans="2:16" ht="9.75" customHeight="1" x14ac:dyDescent="0.2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">
      <c r="B15" s="28"/>
      <c r="C15" s="48" t="s">
        <v>28</v>
      </c>
      <c r="D15" s="51" t="str">
        <f>VLOOKUP(C10,'Formato descripción HU'!B6:O15,3,0)</f>
        <v>El programa debera guardar las preguntas y búsquedas que haga el usuario.</v>
      </c>
      <c r="E15" s="70"/>
      <c r="F15" s="14"/>
      <c r="G15" s="48" t="s">
        <v>29</v>
      </c>
      <c r="H15" s="51" t="str">
        <f>VLOOKUP(C10,'Formato descripción HU'!B6:O15,4,0)</f>
        <v>Para poder llevar una lista con todo lo que el usuario haya buscado antes.</v>
      </c>
      <c r="I15" s="79"/>
      <c r="J15" s="70"/>
      <c r="K15" s="14"/>
      <c r="L15" s="48" t="s">
        <v>30</v>
      </c>
      <c r="M15" s="51" t="str">
        <f>VLOOKUP(C10,'Formato descripción HU'!B6:O15,6,0)</f>
        <v>1.-Hacer que el sistema guarde los datos de cada búsqueda automáticamente.
2.-Revisar que la información se quede guardada en su carpeta.</v>
      </c>
      <c r="N15" s="52"/>
      <c r="O15" s="53"/>
      <c r="P15" s="29"/>
    </row>
    <row r="16" spans="2:16" ht="19.5" customHeight="1" x14ac:dyDescent="0.2">
      <c r="B16" s="28"/>
      <c r="C16" s="49"/>
      <c r="D16" s="74"/>
      <c r="E16" s="75"/>
      <c r="F16" s="14"/>
      <c r="G16" s="49"/>
      <c r="H16" s="74"/>
      <c r="I16" s="80"/>
      <c r="J16" s="75"/>
      <c r="K16" s="14"/>
      <c r="L16" s="49"/>
      <c r="M16" s="54"/>
      <c r="N16" s="55"/>
      <c r="O16" s="56"/>
      <c r="P16" s="29"/>
    </row>
    <row r="17" spans="2:16" ht="19.5" customHeight="1" x14ac:dyDescent="0.2">
      <c r="B17" s="28"/>
      <c r="C17" s="50"/>
      <c r="D17" s="71"/>
      <c r="E17" s="72"/>
      <c r="F17" s="14"/>
      <c r="G17" s="50"/>
      <c r="H17" s="71"/>
      <c r="I17" s="81"/>
      <c r="J17" s="72"/>
      <c r="K17" s="14"/>
      <c r="L17" s="50"/>
      <c r="M17" s="57"/>
      <c r="N17" s="58"/>
      <c r="O17" s="59"/>
      <c r="P17" s="29"/>
    </row>
    <row r="18" spans="2:16" ht="9.75" customHeight="1" x14ac:dyDescent="0.2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">
      <c r="B19" s="28"/>
      <c r="C19" s="69" t="s">
        <v>31</v>
      </c>
      <c r="D19" s="70"/>
      <c r="E19" s="60" t="str">
        <f>VLOOKUP(C10,'Formato descripción HU'!B6:O15,14,0)</f>
        <v>Registro de Busqueda</v>
      </c>
      <c r="F19" s="61"/>
      <c r="G19" s="61"/>
      <c r="H19" s="61"/>
      <c r="I19" s="61"/>
      <c r="J19" s="61"/>
      <c r="K19" s="61"/>
      <c r="L19" s="61"/>
      <c r="M19" s="61"/>
      <c r="N19" s="61"/>
      <c r="O19" s="62"/>
      <c r="P19" s="29"/>
    </row>
    <row r="20" spans="2:16" ht="19.5" customHeight="1" x14ac:dyDescent="0.2">
      <c r="B20" s="28"/>
      <c r="C20" s="71"/>
      <c r="D20" s="72"/>
      <c r="E20" s="63"/>
      <c r="F20" s="64"/>
      <c r="G20" s="64"/>
      <c r="H20" s="64"/>
      <c r="I20" s="64"/>
      <c r="J20" s="64"/>
      <c r="K20" s="64"/>
      <c r="L20" s="64"/>
      <c r="M20" s="64"/>
      <c r="N20" s="64"/>
      <c r="O20" s="65"/>
      <c r="P20" s="29"/>
    </row>
    <row r="21" spans="2:16" ht="9.75" customHeight="1" x14ac:dyDescent="0.2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">
      <c r="B22" s="28"/>
      <c r="C22" s="73" t="s">
        <v>32</v>
      </c>
      <c r="D22" s="70"/>
      <c r="E22" s="51" t="str">
        <f>VLOOKUP(C10,'Formato descripción HU'!B6:O15,12,0)</f>
        <v>Ejecutar el código en el IDE Code::Blocks y ver que el archivo con la fecha guardada aparezca en su carpeta.</v>
      </c>
      <c r="F22" s="52"/>
      <c r="G22" s="52"/>
      <c r="H22" s="53"/>
      <c r="I22" s="14"/>
      <c r="J22" s="73" t="s">
        <v>13</v>
      </c>
      <c r="K22" s="70"/>
      <c r="L22" s="78">
        <f>VLOOKUP(C10,'Formato descripción HU'!B6:O15,13,0)</f>
        <v>0</v>
      </c>
      <c r="M22" s="79"/>
      <c r="N22" s="79"/>
      <c r="O22" s="70"/>
      <c r="P22" s="29"/>
    </row>
    <row r="23" spans="2:16" ht="19.5" customHeight="1" x14ac:dyDescent="0.2">
      <c r="B23" s="28"/>
      <c r="C23" s="74"/>
      <c r="D23" s="75"/>
      <c r="E23" s="54"/>
      <c r="F23" s="55"/>
      <c r="G23" s="55"/>
      <c r="H23" s="56"/>
      <c r="I23" s="14"/>
      <c r="J23" s="74"/>
      <c r="K23" s="75"/>
      <c r="L23" s="74"/>
      <c r="M23" s="80"/>
      <c r="N23" s="80"/>
      <c r="O23" s="75"/>
      <c r="P23" s="29"/>
    </row>
    <row r="24" spans="2:16" ht="19.5" customHeight="1" x14ac:dyDescent="0.2">
      <c r="B24" s="28"/>
      <c r="C24" s="71"/>
      <c r="D24" s="72"/>
      <c r="E24" s="57"/>
      <c r="F24" s="58"/>
      <c r="G24" s="58"/>
      <c r="H24" s="59"/>
      <c r="I24" s="14"/>
      <c r="J24" s="71"/>
      <c r="K24" s="72"/>
      <c r="L24" s="71"/>
      <c r="M24" s="81"/>
      <c r="N24" s="81"/>
      <c r="O24" s="72"/>
      <c r="P24" s="29"/>
    </row>
    <row r="25" spans="2:16" ht="9.75" customHeight="1" x14ac:dyDescent="0.2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'Formato descripción HU'!$B$6:$B$12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PORTATIL</cp:lastModifiedBy>
  <cp:revision/>
  <dcterms:created xsi:type="dcterms:W3CDTF">2019-10-21T15:37:14Z</dcterms:created>
  <dcterms:modified xsi:type="dcterms:W3CDTF">2026-07-10T00:30:09Z</dcterms:modified>
  <cp:category/>
  <cp:contentStatus/>
</cp:coreProperties>
</file>