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https://d.docs.live.net/2a1cc7a8d947f034/Documentos/"/>
    </mc:Choice>
  </mc:AlternateContent>
  <xr:revisionPtr revIDLastSave="0" documentId="8_{9B22F381-FEA2-403F-A49B-FF5D53F0A207}" xr6:coauthVersionLast="37" xr6:coauthVersionMax="37" xr10:uidLastSave="{00000000-0000-0000-0000-000000000000}"/>
  <bookViews>
    <workbookView xWindow="0" yWindow="0" windowWidth="23040" windowHeight="8940" xr2:uid="{00000000-000D-0000-FFFF-FFFF00000000}"/>
  </bookViews>
  <sheets>
    <sheet name="Formato descripción HU" sheetId="1" r:id="rId1"/>
    <sheet name="Historia de Usuario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<sst xmlns="http://schemas.openxmlformats.org/spreadsheetml/2006/main" count="114" uniqueCount="84">
  <si>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</si>
  <si>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</si>
  <si>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</si>
  <si>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</si>
  <si>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</si>
  <si>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</si>
  <si>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</si>
  <si>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</si>
  <si>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</si>
  <si>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</si>
  <si>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</si>
  <si>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</si>
  <si>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</si>
  <si>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</si>
  <si>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</si>
  <si>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</si>
  <si>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</si>
  <si>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</si>
  <si>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-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</si>
  <si>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</si>
  <si>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</si>
  <si>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</si>
  <si>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</si>
  <si>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</si>
  <si>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</si>
  <si>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</si>
  <si>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</si>
  <si>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</si>
  <si>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</si>
  <si>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</si>
  <si>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</si>
  <si>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</si>
  <si>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</si>
  <si>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Erik Peña</t>
  </si>
  <si>
    <t>REQ002</t>
  </si>
  <si>
    <t>Francisco Freire</t>
  </si>
  <si>
    <t>REQ003</t>
  </si>
  <si>
    <t>REQ004</t>
  </si>
  <si>
    <t>Menu Principal.</t>
  </si>
  <si>
    <t>Tatiana Jama</t>
  </si>
  <si>
    <t>REQ005</t>
  </si>
  <si>
    <t>REQ006</t>
  </si>
  <si>
    <t>REQ007</t>
  </si>
  <si>
    <t>Para saber qué días se usó la aplicación para buscar la llave.</t>
  </si>
  <si>
    <t>El programa deberá permitir abrir y leer las búsquedas que ya fueron guardadas.</t>
  </si>
  <si>
    <t>Para poder revisar en la pantalla las preguntas que el usuario ya habia contestado.</t>
  </si>
  <si>
    <t>1.-Desarrollar la función en el programa para buscar y abrir el archivo de texto guardado.                                                           2.- Carga de los datos en la pantalla para mostrárselos al usuario.</t>
  </si>
  <si>
    <t>Pérdida de tiempo al buscar la llave física cuando no está a la vista.</t>
  </si>
  <si>
    <t>El programa debera mostrar un menú en consola con las opciones del sistema</t>
  </si>
  <si>
    <t>Para que el usuario seleccione rápidamente la función que necesita ejecutar.</t>
  </si>
  <si>
    <t>Ejecución del código en el IDE Code::Blocks, verificando que las 6 opciones cargen y funcionen correctamente.</t>
  </si>
  <si>
    <r>
      <t>1.-Mostrar en pantalla el menú con las opciones de control, consulta, eliminacion, edicion, alerta y salida.</t>
    </r>
    <r>
      <rPr>
        <b/>
        <sz val="10"/>
        <color theme="1"/>
        <rFont val="Arial"/>
        <family val="2"/>
      </rPr>
      <t xml:space="preserve">                                                                2</t>
    </r>
    <r>
      <rPr>
        <sz val="10"/>
        <color theme="1"/>
        <rFont val="Arial"/>
        <family val="2"/>
      </rPr>
      <t>.-Hacer que el sistema abra la opción que elija el usuario.</t>
    </r>
  </si>
  <si>
    <t>Olvidar dónde se dejó la llave por última vez.</t>
  </si>
  <si>
    <t>El programa deberá preguntar el último lugar visto para sugerir zonas de búsqueda.</t>
  </si>
  <si>
    <t>Ayudar al usuario a hacer memoria y reducir el tiempo de la búsqueda.</t>
  </si>
  <si>
    <t xml:space="preserve">1.Mostrar la pregunta de ubicación en consola.
2.  Dar una sugerencia según la respuesta
</t>
  </si>
  <si>
    <t>Responder la pregunta en consola y verificar la sugerencia dada.</t>
  </si>
  <si>
    <t>Recordatorio.</t>
  </si>
  <si>
    <t>No encontrar la llave visualmente en el lugar recomendado.</t>
  </si>
  <si>
    <t>El programa deberá activar una alarma sonora para localizar la llave.</t>
  </si>
  <si>
    <t>Encontrar la llave rápidamente mediante el sonido.</t>
  </si>
  <si>
    <t>1. Activar la opción en el menú. 
2.  Emitir el sonido de alerta desde Arduino.</t>
  </si>
  <si>
    <t>Seleccionar la opción de alerta, y verificar que la PC emita el mensaje de activacion y finalizacion.</t>
  </si>
  <si>
    <t>Alerta</t>
  </si>
  <si>
    <t>El programa deberá crear una carpeta en la computadora para almacenar los datos de la búsqueda del usuario.</t>
  </si>
  <si>
    <t>No tener un  historial de las búsquedas realizadas por el usuario</t>
  </si>
  <si>
    <t>Dejar un registro digital y ordenado de cada búsqueda en el odenador.</t>
  </si>
  <si>
    <t>1. Procesar los datos de la búsqueda.          2. Crear la carpeta automáticamente con esa información.</t>
  </si>
  <si>
    <t>Realizar una búsqueda y verificar que la carpeta se cree en la computadora con los datos correctos.</t>
  </si>
  <si>
    <t>Registro.</t>
  </si>
  <si>
    <t>Acumular búsquedas viejas o innecesarias en la computadora.</t>
  </si>
  <si>
    <t>El programa deberá eliminar las búsquedas  generadas por el usuario.</t>
  </si>
  <si>
    <t>1. Identificar la búsqueda seleccionada.     2. Borrar solo la búsqueda desde el código.</t>
  </si>
  <si>
    <t>Seleccionar una búsqueda para eliminar y verificar que desaparezca.</t>
  </si>
  <si>
    <t>Eliminacion</t>
  </si>
  <si>
    <t>Tener datos incorrectos o desactualizados en una búsqueda guardada.</t>
  </si>
  <si>
    <t>Cambiar un dato en el menú y revisar que en la pantalla ya aparezca la información corregida.</t>
  </si>
  <si>
    <t>Edicion</t>
  </si>
  <si>
    <t>No poder cerrar el programa de forma controlada cuando se termina de usar.</t>
  </si>
  <si>
    <t>El programa deberá permitir al usuario salir del menú y cerrar la aplicación.</t>
  </si>
  <si>
    <t>Terminar la sesión de forma segura sin tener que cerrar la ventana a la fuerza.</t>
  </si>
  <si>
    <t>1. Elegir la opción de salida en el menú.                   2. Cerrar el programa.</t>
  </si>
  <si>
    <t>Seleccionar la opción de salir y verificar que la ventana de la consola se cierre correctamente.</t>
  </si>
  <si>
    <t>Salida.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</si>
</sst>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u/>
      <sz val="10"/>
      <color theme="1"/>
      <name val="Arial"/>
      <family val="2"/>
    </font>
    <font>
      <b/>
      <i/>
      <sz val="10"/>
      <color rgb="FF9C6500"/>
      <name val="Arial"/>
      <family val="2"/>
    </font>
    <font>
      <b/>
      <i/>
      <sz val="10"/>
      <color rgb="FFFF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center"/>
    </xf>
    <xf numFmtId="0" fontId="0" fillId="3" borderId="7" xfId="0" applyFill="1" applyBorder="1"/>
    <xf numFmtId="0" fontId="7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2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5" fillId="6" borderId="8" xfId="0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15" xfId="0" applyFont="1" applyBorder="1"/>
    <xf numFmtId="0" fontId="8" fillId="7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22" xfId="0" applyFont="1" applyBorder="1"/>
    <xf numFmtId="0" fontId="4" fillId="0" borderId="24" xfId="0" applyFont="1" applyBorder="1"/>
    <xf numFmtId="0" fontId="5" fillId="4" borderId="9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/>
    <xf numFmtId="0" fontId="1" fillId="5" borderId="9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14" xfId="0" applyFont="1" applyBorder="1" applyAlignment="1">
      <alignment wrapText="1"/>
    </xf>
    <xf numFmtId="0" fontId="4" fillId="0" borderId="22" xfId="0" applyFont="1" applyBorder="1" applyAlignment="1">
      <alignment wrapText="1"/>
    </xf>
    <xf numFmtId="0" fontId="4" fillId="0" borderId="23" xfId="0" applyFont="1" applyBorder="1" applyAlignment="1">
      <alignment wrapText="1"/>
    </xf>
    <xf numFmtId="0" fontId="4" fillId="0" borderId="24" xfId="0" applyFont="1" applyBorder="1" applyAlignment="1">
      <alignment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5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4" fillId="0" borderId="11" xfId="0" applyFont="1" applyBorder="1"/>
    <xf numFmtId="0" fontId="0" fillId="0" borderId="0" xfId="0"/>
    <xf numFmtId="0" fontId="4" fillId="0" borderId="23" xfId="0" applyFont="1" applyBorder="1"/>
    <xf numFmtId="0" fontId="7" fillId="2" borderId="16" xfId="0" applyFont="1" applyFill="1" applyBorder="1" applyAlignment="1">
      <alignment horizontal="center"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10" fillId="0" borderId="2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4" fontId="10" fillId="0" borderId="26" xfId="0" applyNumberFormat="1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17/10/relationships/person" Target="persons/person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999"/>
  <sheetViews>
    <sheetView showGridLines="0" tabSelected="1" topLeftCell="A4" zoomScale="115" zoomScaleNormal="115" workbookViewId="0">
      <selection activeCell="B6" sqref="B6"/>
    </sheetView>
  </sheetViews>
  <sheetFormatPr baseColWidth="10" defaultColWidth="12.59765625" defaultRowHeight="15" customHeight="1" x14ac:dyDescent="0.25"/>
  <cols>
    <col min="1" max="1" width="4.59765625" style="68" customWidth="1"/>
    <col min="2" max="2" width="8.09765625" style="68" customWidth="1"/>
    <col min="3" max="5" width="20.59765625" style="68" customWidth="1"/>
    <col min="6" max="6" width="10.59765625" style="68" customWidth="1"/>
    <col min="7" max="7" width="32.5" style="68" customWidth="1"/>
    <col min="8" max="12" width="10.59765625" style="68" customWidth="1"/>
    <col min="13" max="13" width="32.5" style="68" customWidth="1"/>
    <col min="14" max="15" width="20.59765625" style="68" customWidth="1"/>
    <col min="16" max="26" width="9.19921875" style="68" customWidth="1"/>
    <col min="27" max="16384" width="12.59765625" style="68"/>
  </cols>
  <sheetData>
    <row r="1" spans="2:15" ht="13.2" x14ac:dyDescent="0.25"/>
    <row r="2" spans="2:15" ht="13.2" x14ac:dyDescent="0.25"/>
    <row r="3" spans="2:15" ht="45" customHeight="1" x14ac:dyDescent="0.25">
      <c r="B3" s="69" t="s">
        <v>0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</row>
    <row r="4" spans="2:15" ht="5.25" customHeight="1" x14ac:dyDescent="0.25"/>
    <row r="5" spans="2:15" ht="78.75" customHeight="1" x14ac:dyDescent="0.25">
      <c r="B5" s="70" t="s">
        <v>1</v>
      </c>
      <c r="C5" s="70" t="s">
        <v>2</v>
      </c>
      <c r="D5" s="71" t="s">
        <v>3</v>
      </c>
      <c r="E5" s="70" t="s">
        <v>4</v>
      </c>
      <c r="F5" s="70" t="s">
        <v>5</v>
      </c>
      <c r="G5" s="70" t="s">
        <v>6</v>
      </c>
      <c r="H5" s="70" t="s">
        <v>7</v>
      </c>
      <c r="I5" s="70" t="s">
        <v>8</v>
      </c>
      <c r="J5" s="70" t="s">
        <v>9</v>
      </c>
      <c r="K5" s="70" t="s">
        <v>10</v>
      </c>
      <c r="L5" s="70" t="s">
        <v>11</v>
      </c>
      <c r="M5" s="70" t="s">
        <v>12</v>
      </c>
      <c r="N5" s="70" t="s">
        <v>13</v>
      </c>
      <c r="O5" s="70" t="s">
        <v>14</v>
      </c>
    </row>
    <row r="6" spans="2:15" ht="109.5" customHeight="1" x14ac:dyDescent="0.25">
      <c r="B6" s="56" t="s">
        <v>15</v>
      </c>
      <c r="C6" s="57" t="s">
        <v>47</v>
      </c>
      <c r="D6" s="58" t="s">
        <v>48</v>
      </c>
      <c r="E6" s="58" t="s">
        <v>49</v>
      </c>
      <c r="F6" s="58" t="s">
        <v>39</v>
      </c>
      <c r="G6" s="58" t="s">
        <v>51</v>
      </c>
      <c r="H6" s="58" t="s">
        <v>35</v>
      </c>
      <c r="I6" s="58">
        <v>2</v>
      </c>
      <c r="J6" s="59">
        <v>46214</v>
      </c>
      <c r="K6" s="60" t="s">
        <v>19</v>
      </c>
      <c r="L6" s="57" t="s">
        <v>17</v>
      </c>
      <c r="M6" s="61" t="s">
        <v>50</v>
      </c>
      <c r="N6" s="58" t="s">
        <v>18</v>
      </c>
      <c r="O6" s="58" t="s">
        <v>38</v>
      </c>
    </row>
    <row r="7" spans="2:15" ht="85.5" customHeight="1" x14ac:dyDescent="0.25">
      <c r="B7" s="56" t="s">
        <v>34</v>
      </c>
      <c r="C7" s="57" t="s">
        <v>52</v>
      </c>
      <c r="D7" s="61" t="s">
        <v>53</v>
      </c>
      <c r="E7" s="61" t="s">
        <v>54</v>
      </c>
      <c r="F7" s="58" t="s">
        <v>39</v>
      </c>
      <c r="G7" s="58" t="s">
        <v>55</v>
      </c>
      <c r="H7" s="58" t="s">
        <v>33</v>
      </c>
      <c r="I7" s="58">
        <v>4</v>
      </c>
      <c r="J7" s="59">
        <v>46214</v>
      </c>
      <c r="K7" s="60" t="s">
        <v>19</v>
      </c>
      <c r="L7" s="58" t="s">
        <v>17</v>
      </c>
      <c r="M7" s="62" t="s">
        <v>56</v>
      </c>
      <c r="N7" s="58"/>
      <c r="O7" s="58" t="s">
        <v>57</v>
      </c>
    </row>
    <row r="8" spans="2:15" ht="99.75" customHeight="1" x14ac:dyDescent="0.25">
      <c r="B8" s="63" t="s">
        <v>36</v>
      </c>
      <c r="C8" s="57" t="s">
        <v>58</v>
      </c>
      <c r="D8" s="58" t="s">
        <v>59</v>
      </c>
      <c r="E8" s="58" t="s">
        <v>60</v>
      </c>
      <c r="F8" s="57" t="s">
        <v>39</v>
      </c>
      <c r="G8" s="58" t="s">
        <v>61</v>
      </c>
      <c r="H8" s="58" t="s">
        <v>35</v>
      </c>
      <c r="I8" s="58">
        <v>4</v>
      </c>
      <c r="J8" s="59">
        <v>46214</v>
      </c>
      <c r="K8" s="58" t="s">
        <v>19</v>
      </c>
      <c r="L8" s="58" t="s">
        <v>21</v>
      </c>
      <c r="M8" s="58" t="s">
        <v>62</v>
      </c>
      <c r="N8" s="57"/>
      <c r="O8" s="58" t="s">
        <v>63</v>
      </c>
    </row>
    <row r="9" spans="2:15" ht="78" customHeight="1" x14ac:dyDescent="0.25">
      <c r="B9" s="56" t="s">
        <v>37</v>
      </c>
      <c r="C9" s="57" t="s">
        <v>65</v>
      </c>
      <c r="D9" s="64" t="s">
        <v>64</v>
      </c>
      <c r="E9" s="64" t="s">
        <v>66</v>
      </c>
      <c r="F9" s="64" t="s">
        <v>39</v>
      </c>
      <c r="G9" s="58" t="s">
        <v>67</v>
      </c>
      <c r="H9" s="64" t="s">
        <v>33</v>
      </c>
      <c r="I9" s="64">
        <v>6</v>
      </c>
      <c r="J9" s="59">
        <v>46214</v>
      </c>
      <c r="K9" s="58" t="s">
        <v>19</v>
      </c>
      <c r="L9" s="58" t="s">
        <v>17</v>
      </c>
      <c r="M9" s="64" t="s">
        <v>68</v>
      </c>
      <c r="N9" s="57"/>
      <c r="O9" s="64" t="s">
        <v>69</v>
      </c>
    </row>
    <row r="10" spans="2:15" ht="78" customHeight="1" x14ac:dyDescent="0.25">
      <c r="B10" s="56" t="s">
        <v>40</v>
      </c>
      <c r="C10" s="57" t="s">
        <v>70</v>
      </c>
      <c r="D10" s="61" t="s">
        <v>71</v>
      </c>
      <c r="E10" s="57" t="s">
        <v>43</v>
      </c>
      <c r="F10" s="57" t="s">
        <v>39</v>
      </c>
      <c r="G10" s="57" t="s">
        <v>72</v>
      </c>
      <c r="H10" s="57" t="s">
        <v>33</v>
      </c>
      <c r="I10" s="57">
        <v>6</v>
      </c>
      <c r="J10" s="59">
        <v>46214</v>
      </c>
      <c r="K10" s="58" t="s">
        <v>19</v>
      </c>
      <c r="L10" s="58" t="s">
        <v>17</v>
      </c>
      <c r="M10" s="65" t="s">
        <v>73</v>
      </c>
      <c r="N10" s="57"/>
      <c r="O10" s="57" t="s">
        <v>74</v>
      </c>
    </row>
    <row r="11" spans="2:15" ht="74.25" customHeight="1" x14ac:dyDescent="0.25">
      <c r="B11" s="56" t="s">
        <v>41</v>
      </c>
      <c r="C11" s="57" t="s">
        <v>75</v>
      </c>
      <c r="D11" s="61" t="s">
        <v>44</v>
      </c>
      <c r="E11" s="61" t="s">
        <v>45</v>
      </c>
      <c r="F11" s="64" t="s">
        <v>39</v>
      </c>
      <c r="G11" s="61" t="s">
        <v>46</v>
      </c>
      <c r="H11" s="57" t="s">
        <v>33</v>
      </c>
      <c r="I11" s="57">
        <v>6</v>
      </c>
      <c r="J11" s="59">
        <v>46214</v>
      </c>
      <c r="K11" s="58" t="s">
        <v>19</v>
      </c>
      <c r="L11" s="57" t="s">
        <v>17</v>
      </c>
      <c r="M11" s="61" t="s">
        <v>76</v>
      </c>
      <c r="N11" s="57"/>
      <c r="O11" s="57" t="s">
        <v>77</v>
      </c>
    </row>
    <row r="12" spans="2:15" ht="99.75" customHeight="1" x14ac:dyDescent="0.25">
      <c r="B12" s="66" t="s">
        <v>42</v>
      </c>
      <c r="C12" s="57" t="s">
        <v>78</v>
      </c>
      <c r="D12" s="61" t="s">
        <v>79</v>
      </c>
      <c r="E12" s="61" t="s">
        <v>80</v>
      </c>
      <c r="F12" s="57" t="s">
        <v>39</v>
      </c>
      <c r="G12" s="61" t="s">
        <v>81</v>
      </c>
      <c r="H12" s="57" t="s">
        <v>33</v>
      </c>
      <c r="I12" s="57">
        <v>6</v>
      </c>
      <c r="J12" s="59">
        <v>46214</v>
      </c>
      <c r="K12" s="58" t="s">
        <v>19</v>
      </c>
      <c r="L12" s="57" t="s">
        <v>17</v>
      </c>
      <c r="M12" s="61" t="s">
        <v>82</v>
      </c>
      <c r="N12" s="57"/>
      <c r="O12" s="57" t="s">
        <v>83</v>
      </c>
    </row>
    <row r="13" spans="2:15" ht="72" customHeight="1" x14ac:dyDescent="0.25">
      <c r="B13" s="75"/>
      <c r="O13" s="67"/>
    </row>
    <row r="14" spans="2:15" ht="65.25" customHeight="1" x14ac:dyDescent="0.25">
      <c r="K14" s="73"/>
    </row>
    <row r="15" spans="2:15" ht="64.5" customHeight="1" x14ac:dyDescent="0.25">
      <c r="K15" s="73"/>
    </row>
    <row r="16" spans="2:15" ht="39.75" customHeight="1" x14ac:dyDescent="0.25"/>
    <row r="17" spans="11:12" ht="39.75" customHeight="1" x14ac:dyDescent="0.25"/>
    <row r="18" spans="11:12" ht="39.75" customHeight="1" x14ac:dyDescent="0.25"/>
    <row r="19" spans="11:12" ht="19.5" customHeight="1" x14ac:dyDescent="0.25">
      <c r="K19" s="72" t="s">
        <v>19</v>
      </c>
      <c r="L19" s="72" t="s">
        <v>20</v>
      </c>
    </row>
    <row r="20" spans="11:12" ht="19.5" customHeight="1" x14ac:dyDescent="0.25">
      <c r="K20" s="72" t="s">
        <v>16</v>
      </c>
      <c r="L20" s="72" t="s">
        <v>21</v>
      </c>
    </row>
    <row r="21" spans="11:12" ht="19.5" customHeight="1" x14ac:dyDescent="0.25">
      <c r="K21" s="72" t="s">
        <v>22</v>
      </c>
      <c r="L21" s="72" t="s">
        <v>17</v>
      </c>
    </row>
    <row r="22" spans="11:12" ht="19.5" customHeight="1" x14ac:dyDescent="0.25">
      <c r="K22" s="72"/>
      <c r="L22" s="72" t="s">
        <v>23</v>
      </c>
    </row>
    <row r="23" spans="11:12" ht="19.5" customHeight="1" x14ac:dyDescent="0.25"/>
    <row r="24" spans="11:12" ht="19.5" customHeight="1" x14ac:dyDescent="0.25"/>
    <row r="25" spans="11:12" ht="19.5" customHeight="1" x14ac:dyDescent="0.25"/>
    <row r="26" spans="11:12" ht="19.5" customHeight="1" x14ac:dyDescent="0.25"/>
    <row r="27" spans="11:12" ht="19.5" customHeight="1" x14ac:dyDescent="0.25"/>
    <row r="28" spans="11:12" ht="19.5" customHeight="1" x14ac:dyDescent="0.25"/>
    <row r="29" spans="11:12" ht="19.5" customHeight="1" x14ac:dyDescent="0.25"/>
    <row r="30" spans="11:12" ht="19.5" customHeight="1" x14ac:dyDescent="0.25"/>
    <row r="31" spans="11:12" ht="19.5" customHeight="1" x14ac:dyDescent="0.25"/>
    <row r="32" spans="11:12" ht="19.5" customHeight="1" x14ac:dyDescent="0.25"/>
    <row r="33" ht="19.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B3:O3"/>
  </mergeCells>
  <phoneticPr fontId="9" type="noConversion"/>
  <dataValidations count="2">
    <dataValidation type="list" allowBlank="1" showErrorMessage="1" sqref="L6:L12" xr:uid="{00000000-0002-0000-0000-000000000000}">
      <formula1>$L$19:$L$22</formula1>
    </dataValidation>
    <dataValidation type="list" allowBlank="1" showErrorMessage="1" sqref="K6:K12" xr:uid="{00000000-0002-0000-0000-000001000000}">
      <formula1>$K$19:$K$21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96" zoomScaleNormal="85" workbookViewId="0">
      <selection activeCell="C10" sqref="C10"/>
    </sheetView>
  </sheetViews>
  <sheetFormatPr baseColWidth="10" defaultColWidth="12.59765625" defaultRowHeight="15" customHeight="1" x14ac:dyDescent="0.25"/>
  <cols>
    <col min="1" max="1" width="9.19921875" customWidth="1"/>
    <col min="2" max="2" width="2.59765625" customWidth="1"/>
    <col min="3" max="15" width="10.59765625" customWidth="1"/>
    <col min="16" max="16" width="2.59765625" customWidth="1"/>
    <col min="17" max="26" width="9.19921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2"/>
      <c r="D4" s="2"/>
      <c r="E4" s="2"/>
      <c r="F4" s="1"/>
    </row>
    <row r="5" spans="2:16" ht="14.4" hidden="1" x14ac:dyDescent="0.3">
      <c r="C5" s="2"/>
      <c r="D5" s="2"/>
      <c r="E5" s="2"/>
      <c r="F5" s="1"/>
    </row>
    <row r="6" spans="2:16" ht="39.75" customHeight="1" x14ac:dyDescent="0.25">
      <c r="B6" s="41" t="s">
        <v>24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3"/>
    </row>
    <row r="7" spans="2:16" ht="9.75" customHeight="1" x14ac:dyDescent="0.25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6" ht="9.75" customHeight="1" x14ac:dyDescent="0.3">
      <c r="B8" s="15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9"/>
    </row>
    <row r="9" spans="2:16" ht="30" customHeight="1" x14ac:dyDescent="0.25">
      <c r="B9" s="20"/>
      <c r="C9" s="4" t="s">
        <v>1</v>
      </c>
      <c r="D9" s="5"/>
      <c r="E9" s="44" t="s">
        <v>25</v>
      </c>
      <c r="F9" s="43"/>
      <c r="G9" s="5"/>
      <c r="H9" s="44" t="s">
        <v>11</v>
      </c>
      <c r="I9" s="43"/>
      <c r="J9" s="6"/>
      <c r="K9" s="6"/>
      <c r="L9" s="6"/>
      <c r="M9" s="6"/>
      <c r="N9" s="6"/>
      <c r="O9" s="6"/>
      <c r="P9" s="21"/>
    </row>
    <row r="10" spans="2:16" ht="30" customHeight="1" x14ac:dyDescent="0.25">
      <c r="B10" s="20"/>
      <c r="C10" s="7" t="s">
        <v>37</v>
      </c>
      <c r="D10" s="8"/>
      <c r="E10" s="45" t="str">
        <f>VLOOKUP(C10,'Formato descripción HU'!B6:O15,5,0)</f>
        <v>Tatiana Jama</v>
      </c>
      <c r="F10" s="43"/>
      <c r="G10" s="9"/>
      <c r="H10" s="45" t="str">
        <f>VLOOKUP(C10,'Formato descripción HU'!B6:O15,11,0)</f>
        <v>Terminado</v>
      </c>
      <c r="I10" s="43"/>
      <c r="J10" s="9"/>
      <c r="K10" s="6"/>
      <c r="L10" s="6"/>
      <c r="M10" s="6"/>
      <c r="N10" s="6"/>
      <c r="O10" s="6"/>
      <c r="P10" s="21"/>
    </row>
    <row r="11" spans="2:16" ht="9.75" customHeight="1" x14ac:dyDescent="0.25">
      <c r="B11" s="20"/>
      <c r="C11" s="10"/>
      <c r="D11" s="8"/>
      <c r="E11" s="11"/>
      <c r="F11" s="11"/>
      <c r="G11" s="9"/>
      <c r="H11" s="11"/>
      <c r="I11" s="11"/>
      <c r="J11" s="9"/>
      <c r="K11" s="11"/>
      <c r="L11" s="11"/>
      <c r="M11" s="6"/>
      <c r="N11" s="11"/>
      <c r="O11" s="11"/>
      <c r="P11" s="21"/>
    </row>
    <row r="12" spans="2:16" ht="30" customHeight="1" x14ac:dyDescent="0.25">
      <c r="B12" s="20"/>
      <c r="C12" s="4" t="s">
        <v>26</v>
      </c>
      <c r="D12" s="8"/>
      <c r="E12" s="44" t="s">
        <v>10</v>
      </c>
      <c r="F12" s="43"/>
      <c r="G12" s="9"/>
      <c r="H12" s="44" t="s">
        <v>27</v>
      </c>
      <c r="I12" s="43"/>
      <c r="J12" s="9"/>
      <c r="K12" s="11"/>
      <c r="L12" s="11"/>
      <c r="M12" s="6"/>
      <c r="N12" s="11"/>
      <c r="O12" s="11"/>
      <c r="P12" s="21"/>
    </row>
    <row r="13" spans="2:16" ht="30" customHeight="1" x14ac:dyDescent="0.25">
      <c r="B13" s="20"/>
      <c r="C13" s="7">
        <f>VLOOKUP('Historia de Usuario'!C10,'Formato descripción HU'!B6:O15,8,0)</f>
        <v>6</v>
      </c>
      <c r="D13" s="8"/>
      <c r="E13" s="45" t="str">
        <f>VLOOKUP(C10,'Formato descripción HU'!B6:O15,10,0)</f>
        <v>Alta</v>
      </c>
      <c r="F13" s="43"/>
      <c r="G13" s="9"/>
      <c r="H13" s="45" t="str">
        <f>VLOOKUP(C10,'Formato descripción HU'!B6:O15,7,0)</f>
        <v>Erik Peña</v>
      </c>
      <c r="I13" s="43"/>
      <c r="J13" s="9"/>
      <c r="K13" s="11"/>
      <c r="L13" s="11"/>
      <c r="M13" s="6"/>
      <c r="N13" s="11"/>
      <c r="O13" s="11"/>
      <c r="P13" s="21"/>
    </row>
    <row r="14" spans="2:16" ht="9.75" customHeight="1" x14ac:dyDescent="0.25">
      <c r="B14" s="20"/>
      <c r="C14" s="6"/>
      <c r="D14" s="8"/>
      <c r="E14" s="6"/>
      <c r="F14" s="6"/>
      <c r="G14" s="9"/>
      <c r="H14" s="9"/>
      <c r="I14" s="6"/>
      <c r="J14" s="6"/>
      <c r="K14" s="6"/>
      <c r="L14" s="6"/>
      <c r="M14" s="6"/>
      <c r="N14" s="6"/>
      <c r="O14" s="6"/>
      <c r="P14" s="21"/>
    </row>
    <row r="15" spans="2:16" ht="19.5" customHeight="1" x14ac:dyDescent="0.25">
      <c r="B15" s="20"/>
      <c r="C15" s="22" t="s">
        <v>28</v>
      </c>
      <c r="D15" s="32" t="str">
        <f>VLOOKUP(C10,'Formato descripción HU'!B6:O15,3,0)</f>
        <v>El programa deberá crear una carpeta en la computadora para almacenar los datos de la búsqueda del usuario.</v>
      </c>
      <c r="E15" s="26"/>
      <c r="F15" s="6"/>
      <c r="G15" s="22" t="s">
        <v>29</v>
      </c>
      <c r="H15" s="32" t="str">
        <f>VLOOKUP(C10,'Formato descripción HU'!B6:O15,4,0)</f>
        <v>Dejar un registro digital y ordenado de cada búsqueda en el odenador.</v>
      </c>
      <c r="I15" s="47"/>
      <c r="J15" s="26"/>
      <c r="K15" s="6"/>
      <c r="L15" s="22" t="s">
        <v>30</v>
      </c>
      <c r="M15" s="32" t="str">
        <f>VLOOKUP(C10,'Formato descripción HU'!B6:O15,6,0)</f>
        <v>1. Procesar los datos de la búsqueda.          2. Crear la carpeta automáticamente con esa información.</v>
      </c>
      <c r="N15" s="33"/>
      <c r="O15" s="34"/>
      <c r="P15" s="21"/>
    </row>
    <row r="16" spans="2:16" ht="19.5" customHeight="1" x14ac:dyDescent="0.25">
      <c r="B16" s="20"/>
      <c r="C16" s="23"/>
      <c r="D16" s="30"/>
      <c r="E16" s="31"/>
      <c r="F16" s="6"/>
      <c r="G16" s="23"/>
      <c r="H16" s="30"/>
      <c r="I16" s="48"/>
      <c r="J16" s="31"/>
      <c r="K16" s="6"/>
      <c r="L16" s="23"/>
      <c r="M16" s="35"/>
      <c r="N16" s="36"/>
      <c r="O16" s="37"/>
      <c r="P16" s="21"/>
    </row>
    <row r="17" spans="2:16" ht="19.5" customHeight="1" x14ac:dyDescent="0.25">
      <c r="B17" s="20"/>
      <c r="C17" s="24"/>
      <c r="D17" s="27"/>
      <c r="E17" s="28"/>
      <c r="F17" s="6"/>
      <c r="G17" s="24"/>
      <c r="H17" s="27"/>
      <c r="I17" s="49"/>
      <c r="J17" s="28"/>
      <c r="K17" s="6"/>
      <c r="L17" s="24"/>
      <c r="M17" s="38"/>
      <c r="N17" s="39"/>
      <c r="O17" s="40"/>
      <c r="P17" s="21"/>
    </row>
    <row r="18" spans="2:16" ht="9.75" customHeight="1" x14ac:dyDescent="0.25">
      <c r="B18" s="20"/>
      <c r="C18" s="6"/>
      <c r="D18" s="6"/>
      <c r="E18" s="6"/>
      <c r="F18" s="6"/>
      <c r="G18" s="9"/>
      <c r="H18" s="9"/>
      <c r="I18" s="9"/>
      <c r="J18" s="6"/>
      <c r="K18" s="6"/>
      <c r="L18" s="6"/>
      <c r="M18" s="6"/>
      <c r="N18" s="6"/>
      <c r="O18" s="6"/>
      <c r="P18" s="21"/>
    </row>
    <row r="19" spans="2:16" ht="19.5" customHeight="1" x14ac:dyDescent="0.25">
      <c r="B19" s="20"/>
      <c r="C19" s="25" t="s">
        <v>31</v>
      </c>
      <c r="D19" s="26"/>
      <c r="E19" s="50" t="str">
        <f>VLOOKUP(C10,'Formato descripción HU'!B6:O15,14,0)</f>
        <v>Registro.</v>
      </c>
      <c r="F19" s="51"/>
      <c r="G19" s="51"/>
      <c r="H19" s="51"/>
      <c r="I19" s="51"/>
      <c r="J19" s="51"/>
      <c r="K19" s="51"/>
      <c r="L19" s="51"/>
      <c r="M19" s="51"/>
      <c r="N19" s="51"/>
      <c r="O19" s="52"/>
      <c r="P19" s="21"/>
    </row>
    <row r="20" spans="2:16" ht="19.5" customHeight="1" x14ac:dyDescent="0.25">
      <c r="B20" s="20"/>
      <c r="C20" s="27"/>
      <c r="D20" s="28"/>
      <c r="E20" s="53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21"/>
    </row>
    <row r="21" spans="2:16" ht="9.75" customHeight="1" x14ac:dyDescent="0.25">
      <c r="B21" s="2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21"/>
    </row>
    <row r="22" spans="2:16" ht="19.5" customHeight="1" x14ac:dyDescent="0.25">
      <c r="B22" s="20"/>
      <c r="C22" s="29" t="s">
        <v>32</v>
      </c>
      <c r="D22" s="26"/>
      <c r="E22" s="32" t="str">
        <f>VLOOKUP(C10,'Formato descripción HU'!B6:O15,12,0)</f>
        <v>Realizar una búsqueda y verificar que la carpeta se cree en la computadora con los datos correctos.</v>
      </c>
      <c r="F22" s="33"/>
      <c r="G22" s="33"/>
      <c r="H22" s="34"/>
      <c r="I22" s="6"/>
      <c r="J22" s="29" t="s">
        <v>13</v>
      </c>
      <c r="K22" s="26"/>
      <c r="L22" s="46">
        <f>VLOOKUP(C10,'Formato descripción HU'!B6:O15,13,0)</f>
        <v>0</v>
      </c>
      <c r="M22" s="47"/>
      <c r="N22" s="47"/>
      <c r="O22" s="26"/>
      <c r="P22" s="21"/>
    </row>
    <row r="23" spans="2:16" ht="19.5" customHeight="1" x14ac:dyDescent="0.25">
      <c r="B23" s="20"/>
      <c r="C23" s="30"/>
      <c r="D23" s="31"/>
      <c r="E23" s="35"/>
      <c r="F23" s="36"/>
      <c r="G23" s="36"/>
      <c r="H23" s="37"/>
      <c r="I23" s="6"/>
      <c r="J23" s="30"/>
      <c r="K23" s="31"/>
      <c r="L23" s="30"/>
      <c r="M23" s="48"/>
      <c r="N23" s="48"/>
      <c r="O23" s="31"/>
      <c r="P23" s="21"/>
    </row>
    <row r="24" spans="2:16" ht="19.5" customHeight="1" x14ac:dyDescent="0.25">
      <c r="B24" s="20"/>
      <c r="C24" s="27"/>
      <c r="D24" s="28"/>
      <c r="E24" s="38"/>
      <c r="F24" s="39"/>
      <c r="G24" s="39"/>
      <c r="H24" s="40"/>
      <c r="I24" s="6"/>
      <c r="J24" s="27"/>
      <c r="K24" s="28"/>
      <c r="L24" s="27"/>
      <c r="M24" s="49"/>
      <c r="N24" s="49"/>
      <c r="O24" s="28"/>
      <c r="P24" s="21"/>
    </row>
    <row r="25" spans="2:16" ht="9.75" customHeight="1" x14ac:dyDescent="0.25"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PC</cp:lastModifiedBy>
  <cp:revision/>
  <dcterms:created xsi:type="dcterms:W3CDTF">2019-10-21T15:37:14Z</dcterms:created>
  <dcterms:modified xsi:type="dcterms:W3CDTF">2026-07-13T00:06:16Z</dcterms:modified>
  <cp:category/>
  <cp:contentStatus/>
</cp:coreProperties>
</file>